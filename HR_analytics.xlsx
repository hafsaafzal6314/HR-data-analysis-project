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ac7642e1ecba65/Desktop/excel projecs/"/>
    </mc:Choice>
  </mc:AlternateContent>
  <xr:revisionPtr revIDLastSave="514" documentId="8_{C0B118CF-EB6F-43D6-A385-B41B4B219458}" xr6:coauthVersionLast="47" xr6:coauthVersionMax="47" xr10:uidLastSave="{58572EAC-B1EB-40BE-86AC-6F83EE9B5009}"/>
  <bookViews>
    <workbookView xWindow="-96" yWindow="0" windowWidth="11712" windowHeight="12336" firstSheet="2" activeTab="3" xr2:uid="{A9457E37-8D0B-41A6-87EB-B9A6E47AE2BB}"/>
  </bookViews>
  <sheets>
    <sheet name="raw data" sheetId="1" r:id="rId1"/>
    <sheet name="HR_data" sheetId="2" r:id="rId2"/>
    <sheet name="pivot tabel&amp;charts" sheetId="3" r:id="rId3"/>
    <sheet name="dashboard" sheetId="4" r:id="rId4"/>
  </sheet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02" i="2" l="1" a="1"/>
  <c r="J102" i="2" s="1"/>
  <c r="H102" i="2"/>
  <c r="E102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<sst xmlns="http://schemas.openxmlformats.org/spreadsheetml/2006/main" count="1277" uniqueCount="246">
  <si>
    <t>Employee ID</t>
  </si>
  <si>
    <t>Name</t>
  </si>
  <si>
    <t>Gender</t>
  </si>
  <si>
    <t>Department</t>
  </si>
  <si>
    <t>Age</t>
  </si>
  <si>
    <t>Salary</t>
  </si>
  <si>
    <t>Experience</t>
  </si>
  <si>
    <t>Performance Rating</t>
  </si>
  <si>
    <t>Attrition</t>
  </si>
  <si>
    <t>City</t>
  </si>
  <si>
    <t>E001</t>
  </si>
  <si>
    <t>Rahul</t>
  </si>
  <si>
    <t>Male</t>
  </si>
  <si>
    <t>IT</t>
  </si>
  <si>
    <t>No</t>
  </si>
  <si>
    <t>Hyderabad</t>
  </si>
  <si>
    <t>E002</t>
  </si>
  <si>
    <t>Sneha</t>
  </si>
  <si>
    <t>Female</t>
  </si>
  <si>
    <t>HR</t>
  </si>
  <si>
    <t>Chennai</t>
  </si>
  <si>
    <t>E003</t>
  </si>
  <si>
    <t>Arjun</t>
  </si>
  <si>
    <t>Sales</t>
  </si>
  <si>
    <t>Yes</t>
  </si>
  <si>
    <t>Bangalore</t>
  </si>
  <si>
    <t>E004</t>
  </si>
  <si>
    <t>Priya</t>
  </si>
  <si>
    <t>Finance</t>
  </si>
  <si>
    <t>Mumbai</t>
  </si>
  <si>
    <t>E005</t>
  </si>
  <si>
    <t>Kiran</t>
  </si>
  <si>
    <t>E006</t>
  </si>
  <si>
    <t>Ayesha</t>
  </si>
  <si>
    <t>Marketing</t>
  </si>
  <si>
    <t>Delhi</t>
  </si>
  <si>
    <t>E007</t>
  </si>
  <si>
    <t>Rohit</t>
  </si>
  <si>
    <t>Pune</t>
  </si>
  <si>
    <t>E008</t>
  </si>
  <si>
    <t>Meena</t>
  </si>
  <si>
    <t>E009</t>
  </si>
  <si>
    <t>Akash</t>
  </si>
  <si>
    <t>E010</t>
  </si>
  <si>
    <t>Divya</t>
  </si>
  <si>
    <t>E011</t>
  </si>
  <si>
    <t>Nikhil</t>
  </si>
  <si>
    <t>E012</t>
  </si>
  <si>
    <t>Pooja</t>
  </si>
  <si>
    <t>E013</t>
  </si>
  <si>
    <t>Varun</t>
  </si>
  <si>
    <t>E014</t>
  </si>
  <si>
    <t>Kavya</t>
  </si>
  <si>
    <t>E015</t>
  </si>
  <si>
    <t>Sameer</t>
  </si>
  <si>
    <t>E016</t>
  </si>
  <si>
    <t>Anjali</t>
  </si>
  <si>
    <t>E017</t>
  </si>
  <si>
    <t>Imran</t>
  </si>
  <si>
    <t>E018</t>
  </si>
  <si>
    <t>Neha</t>
  </si>
  <si>
    <t>E019</t>
  </si>
  <si>
    <t>Sanjay</t>
  </si>
  <si>
    <t>E020</t>
  </si>
  <si>
    <t>Riya</t>
  </si>
  <si>
    <t>E021</t>
  </si>
  <si>
    <t>Mohan</t>
  </si>
  <si>
    <t>E022</t>
  </si>
  <si>
    <t>Swathi</t>
  </si>
  <si>
    <t>E023</t>
  </si>
  <si>
    <t>Naveen</t>
  </si>
  <si>
    <t>E024</t>
  </si>
  <si>
    <t>Bhavana</t>
  </si>
  <si>
    <t>E025</t>
  </si>
  <si>
    <t>Ajay</t>
  </si>
  <si>
    <t>E026</t>
  </si>
  <si>
    <t>Nisha</t>
  </si>
  <si>
    <t>E027</t>
  </si>
  <si>
    <t>Prakash</t>
  </si>
  <si>
    <t>E028</t>
  </si>
  <si>
    <t>Deepa</t>
  </si>
  <si>
    <t>E029</t>
  </si>
  <si>
    <t>Vikas</t>
  </si>
  <si>
    <t>E030</t>
  </si>
  <si>
    <t>Farah</t>
  </si>
  <si>
    <t>E031</t>
  </si>
  <si>
    <t>Harish</t>
  </si>
  <si>
    <t>E032</t>
  </si>
  <si>
    <t>Lakshmi</t>
  </si>
  <si>
    <t>E033</t>
  </si>
  <si>
    <t>Surya</t>
  </si>
  <si>
    <t>E034</t>
  </si>
  <si>
    <t>Keerthi</t>
  </si>
  <si>
    <t>E035</t>
  </si>
  <si>
    <t>Faisal</t>
  </si>
  <si>
    <t>E036</t>
  </si>
  <si>
    <t>Hema</t>
  </si>
  <si>
    <t>E037</t>
  </si>
  <si>
    <t>Vinay</t>
  </si>
  <si>
    <t>E038</t>
  </si>
  <si>
    <t>Shilpa</t>
  </si>
  <si>
    <t>E039</t>
  </si>
  <si>
    <t>Rakesh</t>
  </si>
  <si>
    <t>E040</t>
  </si>
  <si>
    <t>Sonia</t>
  </si>
  <si>
    <t>E041</t>
  </si>
  <si>
    <t>Gopal</t>
  </si>
  <si>
    <t>E042</t>
  </si>
  <si>
    <t>Aarti</t>
  </si>
  <si>
    <t>E043</t>
  </si>
  <si>
    <t>Yusuf</t>
  </si>
  <si>
    <t>E044</t>
  </si>
  <si>
    <t>Jyothi</t>
  </si>
  <si>
    <t>E045</t>
  </si>
  <si>
    <t>Karthik</t>
  </si>
  <si>
    <t>E046</t>
  </si>
  <si>
    <t>Sravani</t>
  </si>
  <si>
    <t>E047</t>
  </si>
  <si>
    <t>Ashok</t>
  </si>
  <si>
    <t>E048</t>
  </si>
  <si>
    <t>Reshma</t>
  </si>
  <si>
    <t>E049</t>
  </si>
  <si>
    <t>Anand</t>
  </si>
  <si>
    <t>E050</t>
  </si>
  <si>
    <t>Zara</t>
  </si>
  <si>
    <t>E051</t>
  </si>
  <si>
    <t>Ravi</t>
  </si>
  <si>
    <t>E052</t>
  </si>
  <si>
    <t>Anu</t>
  </si>
  <si>
    <t>E053</t>
  </si>
  <si>
    <t>Salman</t>
  </si>
  <si>
    <t>E054</t>
  </si>
  <si>
    <t>Ishita</t>
  </si>
  <si>
    <t>E055</t>
  </si>
  <si>
    <t>Manoj</t>
  </si>
  <si>
    <t>E056</t>
  </si>
  <si>
    <t>Noor</t>
  </si>
  <si>
    <t>E057</t>
  </si>
  <si>
    <t>Tarun</t>
  </si>
  <si>
    <t>E058</t>
  </si>
  <si>
    <t>Padmini</t>
  </si>
  <si>
    <t>E059</t>
  </si>
  <si>
    <t>Vivek</t>
  </si>
  <si>
    <t>E060</t>
  </si>
  <si>
    <t>Salma</t>
  </si>
  <si>
    <t>E061</t>
  </si>
  <si>
    <t>Ashwin</t>
  </si>
  <si>
    <t>E062</t>
  </si>
  <si>
    <t>Bhavya</t>
  </si>
  <si>
    <t>E063</t>
  </si>
  <si>
    <t>Rohan</t>
  </si>
  <si>
    <t>E064</t>
  </si>
  <si>
    <t>Tanya</t>
  </si>
  <si>
    <t>E065</t>
  </si>
  <si>
    <t>Irfan</t>
  </si>
  <si>
    <t>E066</t>
  </si>
  <si>
    <t>Suma</t>
  </si>
  <si>
    <t>E067</t>
  </si>
  <si>
    <t>Kunal</t>
  </si>
  <si>
    <t>E068</t>
  </si>
  <si>
    <t>Harika</t>
  </si>
  <si>
    <t>E069</t>
  </si>
  <si>
    <t>Lokesh</t>
  </si>
  <si>
    <t>E070</t>
  </si>
  <si>
    <t>Fathima</t>
  </si>
  <si>
    <t>E071</t>
  </si>
  <si>
    <t>Naveed</t>
  </si>
  <si>
    <t>E072</t>
  </si>
  <si>
    <t>Shruthi</t>
  </si>
  <si>
    <t>E073</t>
  </si>
  <si>
    <t>Kishore</t>
  </si>
  <si>
    <t>E074</t>
  </si>
  <si>
    <t>Harini</t>
  </si>
  <si>
    <t>E075</t>
  </si>
  <si>
    <t>Uday</t>
  </si>
  <si>
    <t>E076</t>
  </si>
  <si>
    <t>Sana</t>
  </si>
  <si>
    <t>E077</t>
  </si>
  <si>
    <t>Rajesh</t>
  </si>
  <si>
    <t>E078</t>
  </si>
  <si>
    <t>Nandini</t>
  </si>
  <si>
    <t>E079</t>
  </si>
  <si>
    <t>Tejas</t>
  </si>
  <si>
    <t>E080</t>
  </si>
  <si>
    <t>Muskan</t>
  </si>
  <si>
    <t>E081</t>
  </si>
  <si>
    <t>Pavan</t>
  </si>
  <si>
    <t>E082</t>
  </si>
  <si>
    <t>Shreya</t>
  </si>
  <si>
    <t>E083</t>
  </si>
  <si>
    <t>Bharat</t>
  </si>
  <si>
    <t>E084</t>
  </si>
  <si>
    <t>Komal</t>
  </si>
  <si>
    <t>E085</t>
  </si>
  <si>
    <t>Faizan</t>
  </si>
  <si>
    <t>E086</t>
  </si>
  <si>
    <t>Aisha</t>
  </si>
  <si>
    <t>E087</t>
  </si>
  <si>
    <t>Sandeep</t>
  </si>
  <si>
    <t>E088</t>
  </si>
  <si>
    <t>Roshni</t>
  </si>
  <si>
    <t>E089</t>
  </si>
  <si>
    <t>Arun</t>
  </si>
  <si>
    <t>E090</t>
  </si>
  <si>
    <t>Chandana</t>
  </si>
  <si>
    <t>E091</t>
  </si>
  <si>
    <t>Dilip</t>
  </si>
  <si>
    <t>E092</t>
  </si>
  <si>
    <t>Hina</t>
  </si>
  <si>
    <t>E093</t>
  </si>
  <si>
    <t>Gautham</t>
  </si>
  <si>
    <t>E094</t>
  </si>
  <si>
    <t>Pallavi</t>
  </si>
  <si>
    <t>E095</t>
  </si>
  <si>
    <t>Shyam</t>
  </si>
  <si>
    <t>E096</t>
  </si>
  <si>
    <t>Reema</t>
  </si>
  <si>
    <t>E097</t>
  </si>
  <si>
    <t>Pranav</t>
  </si>
  <si>
    <t>E098</t>
  </si>
  <si>
    <t>Mounika</t>
  </si>
  <si>
    <t>E099</t>
  </si>
  <si>
    <t>Nitin</t>
  </si>
  <si>
    <t>E100</t>
  </si>
  <si>
    <t>Alina</t>
  </si>
  <si>
    <t>Row Labels</t>
  </si>
  <si>
    <t>Grand Total</t>
  </si>
  <si>
    <t>Count of Employee ID</t>
  </si>
  <si>
    <t>Average of Salary</t>
  </si>
  <si>
    <t>Average of Performance Rating</t>
  </si>
  <si>
    <t>Count of Attrition</t>
  </si>
  <si>
    <t>HR ANALYTICS DASHBOARD</t>
  </si>
  <si>
    <t>TOTAL EMPLOYEES</t>
  </si>
  <si>
    <t>TOTAL ATTRITION</t>
  </si>
  <si>
    <t>AVERAGE SALARY</t>
  </si>
  <si>
    <t>AVERAGE AGE</t>
  </si>
  <si>
    <t>AVERAGE RATING</t>
  </si>
  <si>
    <t>ATTRITION RATE</t>
  </si>
  <si>
    <t>insight related questions</t>
  </si>
  <si>
    <t>Which department has the most employees?</t>
  </si>
  <si>
    <t>IT dept has most employees</t>
  </si>
  <si>
    <t>Which department has the highest attrition?</t>
  </si>
  <si>
    <t>Which department has the highest average salary?</t>
  </si>
  <si>
    <t>Which city has the most employees?</t>
  </si>
  <si>
    <t>What is the overall attrition rate?</t>
  </si>
  <si>
    <t>What is the average performance rating?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</si>
</sst>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&quot;₹&quot;\ #,##0.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i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i/>
      <u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68" fontId="1" fillId="0" borderId="0" xfId="0" applyNumberFormat="1" applyFont="1" applyAlignment="1">
      <alignment horizontal="center" vertical="center" wrapText="1"/>
    </xf>
    <xf numFmtId="168" fontId="0" fillId="0" borderId="0" xfId="0" applyNumberFormat="1" applyAlignment="1">
      <alignment vertical="center" wrapText="1"/>
    </xf>
    <xf numFmtId="168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2" borderId="0" xfId="0" applyFill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2" borderId="0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2" borderId="8" xfId="0" applyFill="1" applyBorder="1"/>
    <xf numFmtId="0" fontId="5" fillId="2" borderId="4" xfId="0" applyFont="1" applyFill="1" applyBorder="1"/>
    <xf numFmtId="0" fontId="6" fillId="2" borderId="4" xfId="0" applyFont="1" applyFill="1" applyBorder="1"/>
    <xf numFmtId="0" fontId="6" fillId="2" borderId="0" xfId="0" applyFont="1" applyFill="1" applyBorder="1"/>
    <xf numFmtId="0" fontId="6" fillId="2" borderId="0" xfId="0" applyFont="1" applyFill="1" applyBorder="1" applyAlignment="1">
      <alignment horizontal="center"/>
    </xf>
    <xf numFmtId="168" fontId="6" fillId="2" borderId="0" xfId="0" applyNumberFormat="1" applyFont="1" applyFill="1" applyBorder="1"/>
    <xf numFmtId="9" fontId="6" fillId="2" borderId="0" xfId="0" applyNumberFormat="1" applyFont="1" applyFill="1" applyBorder="1"/>
    <xf numFmtId="0" fontId="5" fillId="2" borderId="4" xfId="0" applyFont="1" applyFill="1" applyBorder="1" applyAlignment="1">
      <alignment horizontal="center"/>
    </xf>
    <xf numFmtId="0" fontId="5" fillId="2" borderId="0" xfId="0" applyFont="1" applyFill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2" fillId="2" borderId="4" xfId="0" applyFont="1" applyFill="1" applyBorder="1"/>
    <xf numFmtId="0" fontId="2" fillId="2" borderId="0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2" fillId="2" borderId="7" xfId="0" applyFont="1" applyFill="1" applyBorder="1"/>
    <xf numFmtId="0" fontId="2" fillId="2" borderId="8" xfId="0" applyFont="1" applyFill="1" applyBorder="1"/>
    <xf numFmtId="0" fontId="4" fillId="2" borderId="4" xfId="0" applyFont="1" applyFill="1" applyBorder="1" applyAlignment="1">
      <alignment horizontal="left"/>
    </xf>
    <xf numFmtId="0" fontId="4" fillId="2" borderId="0" xfId="0" applyFont="1" applyFill="1" applyBorder="1" applyAlignment="1">
      <alignment horizontal="left"/>
    </xf>
    <xf numFmtId="0" fontId="4" fillId="2" borderId="5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</cellXfs>
  <cellStyles count="1">
    <cellStyle name="Normal" xfId="0" builtinId="0"/>
  </cellStyles>
  <dxfs count="22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8" formatCode="&quot;₹&quot;\ 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68" formatCode="&quot;₹&quot;\ #,##0.00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[HR_analytics.xlsx]pivot tabel&amp;charts!PivotTable1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by dept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tabel&amp;charts'!$B$1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tabel&amp;charts'!$A$2:$A$7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tabel&amp;charts'!$B$2:$B$7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21</c:v>
                </c:pt>
                <c:pt idx="3">
                  <c:v>19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F88-4E90-AFB6-235426DD2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2539200"/>
        <c:axId val="1302539680"/>
      </c:barChart>
      <c:catAx>
        <c:axId val="1302539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39680"/>
        <c:crosses val="autoZero"/>
        <c:auto val="1"/>
        <c:lblAlgn val="ctr"/>
        <c:lblOffset val="100"/>
        <c:noMultiLvlLbl val="0"/>
      </c:catAx>
      <c:valAx>
        <c:axId val="130253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3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[HR_analytics.xlsx]pivot tabel&amp;charts!PivotTable3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</a:t>
            </a:r>
            <a:r>
              <a:rPr lang="en-US" baseline="0"/>
              <a:t> by dept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tabel&amp;charts'!$B$36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tabel&amp;charts'!$A$37:$A$42</c:f>
              <c:strCache>
                <c:ptCount val="5"/>
                <c:pt idx="0">
                  <c:v>Finance</c:v>
                </c:pt>
                <c:pt idx="1">
                  <c:v>IT</c:v>
                </c:pt>
                <c:pt idx="2">
                  <c:v>Marketing</c:v>
                </c:pt>
                <c:pt idx="3">
                  <c:v>HR</c:v>
                </c:pt>
                <c:pt idx="4">
                  <c:v>Sales</c:v>
                </c:pt>
              </c:strCache>
            </c:strRef>
          </c:cat>
          <c:val>
            <c:numRef>
              <c:f>'pivot tabel&amp;charts'!$B$37:$B$42</c:f>
              <c:numCache>
                <c:formatCode>"₹"\ #,##0.00</c:formatCode>
                <c:ptCount val="5"/>
                <c:pt idx="0">
                  <c:v>56150</c:v>
                </c:pt>
                <c:pt idx="1">
                  <c:v>47761.904761904763</c:v>
                </c:pt>
                <c:pt idx="2">
                  <c:v>47157.894736842107</c:v>
                </c:pt>
                <c:pt idx="3">
                  <c:v>45250</c:v>
                </c:pt>
                <c:pt idx="4">
                  <c:v>43700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3-46A0-9D9E-F2D6BB1EEE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4668032"/>
        <c:axId val="1684677152"/>
      </c:barChart>
      <c:catAx>
        <c:axId val="168466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677152"/>
        <c:crosses val="autoZero"/>
        <c:auto val="1"/>
        <c:lblAlgn val="ctr"/>
        <c:lblOffset val="100"/>
        <c:noMultiLvlLbl val="0"/>
      </c:catAx>
      <c:valAx>
        <c:axId val="168467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66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[HR_analytics.xlsx]pivot tabel&amp;charts!PivotTable4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  <a:r>
              <a:rPr lang="en-US" baseline="0"/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tabel&amp;charts'!$B$53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tabel&amp;charts'!$A$54:$A$59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tabel&amp;charts'!$B$54:$B$59</c:f>
              <c:numCache>
                <c:formatCode>General</c:formatCode>
                <c:ptCount val="5"/>
                <c:pt idx="0">
                  <c:v>4.5999999999999996</c:v>
                </c:pt>
                <c:pt idx="1">
                  <c:v>4.2</c:v>
                </c:pt>
                <c:pt idx="2">
                  <c:v>4.2380952380952381</c:v>
                </c:pt>
                <c:pt idx="3">
                  <c:v>4.1052631578947372</c:v>
                </c:pt>
                <c:pt idx="4">
                  <c:v>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1AC-46C4-A807-F948461235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387680"/>
        <c:axId val="1770388160"/>
      </c:lineChart>
      <c:catAx>
        <c:axId val="177038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388160"/>
        <c:crosses val="autoZero"/>
        <c:auto val="1"/>
        <c:lblAlgn val="ctr"/>
        <c:lblOffset val="100"/>
        <c:noMultiLvlLbl val="0"/>
      </c:catAx>
      <c:valAx>
        <c:axId val="177038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38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[HR_analytics.xlsx]pivot tabel&amp;charts!PivotTable2</c:name>
    <c:fmtId val="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'pivot tabel&amp;charts'!$B$18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'pivot tabel&amp;charts'!$A$19:$A$21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tabel&amp;charts'!$B$19:$B$21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55-457A-9019-B7133A7DF3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[HR_analytics.xlsx]pivot tabel&amp;charts!PivotTable4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tabel&amp;charts'!$B$53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tabel&amp;charts'!$A$54:$A$59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tabel&amp;charts'!$B$54:$B$59</c:f>
              <c:numCache>
                <c:formatCode>General</c:formatCode>
                <c:ptCount val="5"/>
                <c:pt idx="0">
                  <c:v>4.5999999999999996</c:v>
                </c:pt>
                <c:pt idx="1">
                  <c:v>4.2</c:v>
                </c:pt>
                <c:pt idx="2">
                  <c:v>4.2380952380952381</c:v>
                </c:pt>
                <c:pt idx="3">
                  <c:v>4.1052631578947372</c:v>
                </c:pt>
                <c:pt idx="4">
                  <c:v>3.85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39-409F-9349-7E1F2E4319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6609136"/>
        <c:axId val="1886608656"/>
      </c:barChart>
      <c:catAx>
        <c:axId val="188660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08656"/>
        <c:crosses val="autoZero"/>
        <c:auto val="1"/>
        <c:lblAlgn val="ctr"/>
        <c:lblOffset val="100"/>
        <c:noMultiLvlLbl val="0"/>
      </c:catAx>
      <c:valAx>
        <c:axId val="188660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0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[HR_analytics.xlsx]pivot tabel&amp;charts!PivotTable1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employees by dept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tabel&amp;charts'!$B$1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tabel&amp;charts'!$A$2:$A$7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tabel&amp;charts'!$B$2:$B$7</c:f>
              <c:numCache>
                <c:formatCode>General</c:formatCode>
                <c:ptCount val="5"/>
                <c:pt idx="0">
                  <c:v>20</c:v>
                </c:pt>
                <c:pt idx="1">
                  <c:v>20</c:v>
                </c:pt>
                <c:pt idx="2">
                  <c:v>21</c:v>
                </c:pt>
                <c:pt idx="3">
                  <c:v>19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B6-4088-8BFE-5CE5C4DEE4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302539200"/>
        <c:axId val="1302539680"/>
      </c:barChart>
      <c:catAx>
        <c:axId val="1302539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39680"/>
        <c:crosses val="autoZero"/>
        <c:auto val="1"/>
        <c:lblAlgn val="ctr"/>
        <c:lblOffset val="100"/>
        <c:noMultiLvlLbl val="0"/>
      </c:catAx>
      <c:valAx>
        <c:axId val="1302539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2539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[HR_analytics.xlsx]pivot tabel&amp;charts!PivotTable2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Gender</a:t>
            </a:r>
            <a:r>
              <a:rPr lang="en-US" b="1" baseline="0"/>
              <a:t> distribution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tabel&amp;charts'!$B$18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CF0-4526-9714-7A9CB7388F0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CF0-4526-9714-7A9CB7388F03}"/>
              </c:ext>
            </c:extLst>
          </c:dPt>
          <c:cat>
            <c:strRef>
              <c:f>'pivot tabel&amp;charts'!$A$19:$A$21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tabel&amp;charts'!$B$19:$B$21</c:f>
              <c:numCache>
                <c:formatCode>General</c:formatCode>
                <c:ptCount val="2"/>
                <c:pt idx="0">
                  <c:v>50</c:v>
                </c:pt>
                <c:pt idx="1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CF0-4526-9714-7A9CB7388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[HR_analytics.xlsx]pivot tabel&amp;charts!PivotTable3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Salary</a:t>
            </a:r>
            <a:r>
              <a:rPr lang="en-US" baseline="0"/>
              <a:t> by dept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tabel&amp;charts'!$B$36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tabel&amp;charts'!$A$37:$A$42</c:f>
              <c:strCache>
                <c:ptCount val="5"/>
                <c:pt idx="0">
                  <c:v>Finance</c:v>
                </c:pt>
                <c:pt idx="1">
                  <c:v>IT</c:v>
                </c:pt>
                <c:pt idx="2">
                  <c:v>Marketing</c:v>
                </c:pt>
                <c:pt idx="3">
                  <c:v>HR</c:v>
                </c:pt>
                <c:pt idx="4">
                  <c:v>Sales</c:v>
                </c:pt>
              </c:strCache>
            </c:strRef>
          </c:cat>
          <c:val>
            <c:numRef>
              <c:f>'pivot tabel&amp;charts'!$B$37:$B$42</c:f>
              <c:numCache>
                <c:formatCode>"₹"\ #,##0.00</c:formatCode>
                <c:ptCount val="5"/>
                <c:pt idx="0">
                  <c:v>56150</c:v>
                </c:pt>
                <c:pt idx="1">
                  <c:v>47761.904761904763</c:v>
                </c:pt>
                <c:pt idx="2">
                  <c:v>47157.894736842107</c:v>
                </c:pt>
                <c:pt idx="3">
                  <c:v>45250</c:v>
                </c:pt>
                <c:pt idx="4">
                  <c:v>43700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35B-4712-BC79-88C9E5637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84668032"/>
        <c:axId val="1684677152"/>
      </c:barChart>
      <c:catAx>
        <c:axId val="1684668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677152"/>
        <c:crosses val="autoZero"/>
        <c:auto val="1"/>
        <c:lblAlgn val="ctr"/>
        <c:lblOffset val="100"/>
        <c:noMultiLvlLbl val="0"/>
      </c:catAx>
      <c:valAx>
        <c:axId val="1684677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4668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[HR_analytics.xlsx]pivot tabel&amp;charts!PivotTable4</c:name>
    <c:fmtId val="1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  <a:r>
              <a:rPr lang="en-US" baseline="0"/>
              <a:t>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tabel&amp;charts'!$B$53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tabel&amp;charts'!$A$54:$A$59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tabel&amp;charts'!$B$54:$B$59</c:f>
              <c:numCache>
                <c:formatCode>General</c:formatCode>
                <c:ptCount val="5"/>
                <c:pt idx="0">
                  <c:v>4.5999999999999996</c:v>
                </c:pt>
                <c:pt idx="1">
                  <c:v>4.2</c:v>
                </c:pt>
                <c:pt idx="2">
                  <c:v>4.2380952380952381</c:v>
                </c:pt>
                <c:pt idx="3">
                  <c:v>4.1052631578947372</c:v>
                </c:pt>
                <c:pt idx="4">
                  <c:v>3.85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BD-46D8-A0AC-9DBC56E2B1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70387680"/>
        <c:axId val="1770388160"/>
      </c:lineChart>
      <c:catAx>
        <c:axId val="177038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388160"/>
        <c:crosses val="autoZero"/>
        <c:auto val="1"/>
        <c:lblAlgn val="ctr"/>
        <c:lblOffset val="100"/>
        <c:noMultiLvlLbl val="0"/>
      </c:catAx>
      <c:valAx>
        <c:axId val="1770388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03876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[HR_analytics.xlsx]pivot tabel&amp;charts!PivotTable4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Attrition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tabel&amp;charts'!$B$53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tabel&amp;charts'!$A$54:$A$59</c:f>
              <c:strCache>
                <c:ptCount val="5"/>
                <c:pt idx="0">
                  <c:v>Finance</c:v>
                </c:pt>
                <c:pt idx="1">
                  <c:v>HR</c:v>
                </c:pt>
                <c:pt idx="2">
                  <c:v>IT</c:v>
                </c:pt>
                <c:pt idx="3">
                  <c:v>Marketing</c:v>
                </c:pt>
                <c:pt idx="4">
                  <c:v>Sales</c:v>
                </c:pt>
              </c:strCache>
            </c:strRef>
          </c:cat>
          <c:val>
            <c:numRef>
              <c:f>'pivot tabel&amp;charts'!$B$54:$B$59</c:f>
              <c:numCache>
                <c:formatCode>General</c:formatCode>
                <c:ptCount val="5"/>
                <c:pt idx="0">
                  <c:v>4.5999999999999996</c:v>
                </c:pt>
                <c:pt idx="1">
                  <c:v>4.2</c:v>
                </c:pt>
                <c:pt idx="2">
                  <c:v>4.2380952380952381</c:v>
                </c:pt>
                <c:pt idx="3">
                  <c:v>4.1052631578947372</c:v>
                </c:pt>
                <c:pt idx="4">
                  <c:v>3.85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97-48EF-A184-9CA9D7AA0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6609136"/>
        <c:axId val="1886608656"/>
      </c:barChart>
      <c:catAx>
        <c:axId val="188660913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08656"/>
        <c:crosses val="autoZero"/>
        <c:auto val="1"/>
        <c:lblAlgn val="ctr"/>
        <c:lblOffset val="100"/>
        <c:noMultiLvlLbl val="0"/>
      </c:catAx>
      <c:valAx>
        <c:axId val="1886608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66091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144780</xdr:colOff>
      <xdr:row>0</xdr:row>
      <xdr:rowOff>80010</xdr:rowOff>
    </xdr:from>
    <xdr:to>
      <xdr:col>10</xdr:col>
      <xdr:colOff>571500</xdr:colOff>
      <xdr:row>15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499516B-EB2F-D6DA-D3EC-86B536B011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213360</xdr:colOff>
      <xdr:row>34</xdr:row>
      <xdr:rowOff>26670</xdr:rowOff>
    </xdr:from>
    <xdr:to>
      <xdr:col>10</xdr:col>
      <xdr:colOff>472225</xdr:colOff>
      <xdr:row>49</xdr:row>
      <xdr:rowOff>26670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A9646F-8A28-4214-16EE-C6FA317046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205739</xdr:colOff>
      <xdr:row>50</xdr:row>
      <xdr:rowOff>11430</xdr:rowOff>
    </xdr:from>
    <xdr:to>
      <xdr:col>10</xdr:col>
      <xdr:colOff>440027</xdr:colOff>
      <xdr:row>65</xdr:row>
      <xdr:rowOff>11430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118D9254-97F6-34F0-5124-6E42DEEB10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300180</xdr:colOff>
      <xdr:row>17</xdr:row>
      <xdr:rowOff>23090</xdr:rowOff>
    </xdr:from>
    <xdr:to>
      <xdr:col>11</xdr:col>
      <xdr:colOff>138544</xdr:colOff>
      <xdr:row>33</xdr:row>
      <xdr:rowOff>124690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5A39F0B-8424-310F-4672-C5A880715B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332153</xdr:colOff>
      <xdr:row>65</xdr:row>
      <xdr:rowOff>171938</xdr:rowOff>
    </xdr:from>
    <xdr:to>
      <xdr:col>10</xdr:col>
      <xdr:colOff>439616</xdr:colOff>
      <xdr:row>80</xdr:row>
      <xdr:rowOff>130907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B6A2446-4292-AD05-8FB1-F6079D6A67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13</xdr:row>
      <xdr:rowOff>0</xdr:rowOff>
    </xdr:from>
    <xdr:to>
      <xdr:col>10</xdr:col>
      <xdr:colOff>858868</xdr:colOff>
      <xdr:row>28</xdr:row>
      <xdr:rowOff>151356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8CA374-DDE2-4E34-9A90-9E88EAB7CC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0</xdr:colOff>
      <xdr:row>13</xdr:row>
      <xdr:rowOff>0</xdr:rowOff>
    </xdr:from>
    <xdr:to>
      <xdr:col>22</xdr:col>
      <xdr:colOff>266337</xdr:colOff>
      <xdr:row>30</xdr:row>
      <xdr:rowOff>85247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2EFED1-321D-449F-A1CA-E6C50A4E1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34</xdr:row>
      <xdr:rowOff>0</xdr:rowOff>
    </xdr:from>
    <xdr:to>
      <xdr:col>10</xdr:col>
      <xdr:colOff>691013</xdr:colOff>
      <xdr:row>49</xdr:row>
      <xdr:rowOff>151356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37D3774-75C0-4F57-A44C-72E5A7279B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0</xdr:colOff>
      <xdr:row>34</xdr:row>
      <xdr:rowOff>0</xdr:rowOff>
    </xdr:from>
    <xdr:to>
      <xdr:col>22</xdr:col>
      <xdr:colOff>56836</xdr:colOff>
      <xdr:row>49</xdr:row>
      <xdr:rowOff>151356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74F8F76-35E3-48F9-BC36-9AED8CD4F3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12700</xdr:colOff>
      <xdr:row>53</xdr:row>
      <xdr:rowOff>88900</xdr:rowOff>
    </xdr:from>
    <xdr:to>
      <xdr:col>15</xdr:col>
      <xdr:colOff>387211</xdr:colOff>
      <xdr:row>69</xdr:row>
      <xdr:rowOff>21425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B04FB54-8D5B-42F5-B982-407CBA81195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fsa" refreshedDate="46192.900205555554" createdVersion="8" refreshedVersion="8" minRefreshableVersion="3" recordCount="100" xr:uid="{0C97136F-1C12-40C9-945C-90437B9E47D1}">
  <cacheSource type="worksheet">
    <worksheetSource name="Table2"/>
  </cacheSource>
  <cacheFields count="10">
    <cacheField name="Employee ID" numFmtId="0">
      <sharedItems count="100">
        <s v="E001"/>
        <s v="E002"/>
        <s v="E003"/>
        <s v="E004"/>
        <s v="E005"/>
        <s v="E006"/>
        <s v="E007"/>
        <s v="E008"/>
        <s v="E009"/>
        <s v="E010"/>
        <s v="E011"/>
        <s v="E012"/>
        <s v="E013"/>
        <s v="E014"/>
        <s v="E015"/>
        <s v="E016"/>
        <s v="E017"/>
        <s v="E018"/>
        <s v="E019"/>
        <s v="E020"/>
        <s v="E021"/>
        <s v="E022"/>
        <s v="E023"/>
        <s v="E024"/>
        <s v="E025"/>
        <s v="E026"/>
        <s v="E027"/>
        <s v="E028"/>
        <s v="E029"/>
        <s v="E030"/>
        <s v="E031"/>
        <s v="E032"/>
        <s v="E033"/>
        <s v="E034"/>
        <s v="E035"/>
        <s v="E036"/>
        <s v="E037"/>
        <s v="E038"/>
        <s v="E039"/>
        <s v="E040"/>
        <s v="E041"/>
        <s v="E042"/>
        <s v="E043"/>
        <s v="E044"/>
        <s v="E045"/>
        <s v="E046"/>
        <s v="E047"/>
        <s v="E048"/>
        <s v="E049"/>
        <s v="E050"/>
        <s v="E051"/>
        <s v="E052"/>
        <s v="E053"/>
        <s v="E054"/>
        <s v="E055"/>
        <s v="E056"/>
        <s v="E057"/>
        <s v="E058"/>
        <s v="E059"/>
        <s v="E060"/>
        <s v="E061"/>
        <s v="E062"/>
        <s v="E063"/>
        <s v="E064"/>
        <s v="E065"/>
        <s v="E066"/>
        <s v="E067"/>
        <s v="E068"/>
        <s v="E069"/>
        <s v="E070"/>
        <s v="E071"/>
        <s v="E072"/>
        <s v="E073"/>
        <s v="E074"/>
        <s v="E075"/>
        <s v="E076"/>
        <s v="E077"/>
        <s v="E078"/>
        <s v="E079"/>
        <s v="E080"/>
        <s v="E081"/>
        <s v="E082"/>
        <s v="E083"/>
        <s v="E084"/>
        <s v="E085"/>
        <s v="E086"/>
        <s v="E087"/>
        <s v="E088"/>
        <s v="E089"/>
        <s v="E090"/>
        <s v="E091"/>
        <s v="E092"/>
        <s v="E093"/>
        <s v="E094"/>
        <s v="E095"/>
        <s v="E096"/>
        <s v="E097"/>
        <s v="E098"/>
        <s v="E099"/>
        <s v="E100"/>
      </sharedItems>
    </cacheField>
    <cacheField name="Name" numFmtId="0">
      <sharedItems count="100">
        <s v="Rahul"/>
        <s v="Sneha"/>
        <s v="Arjun"/>
        <s v="Priya"/>
        <s v="Kiran"/>
        <s v="Ayesha"/>
        <s v="Rohit"/>
        <s v="Meena"/>
        <s v="Akash"/>
        <s v="Divya"/>
        <s v="Nikhil"/>
        <s v="Pooja"/>
        <s v="Varun"/>
        <s v="Kavya"/>
        <s v="Sameer"/>
        <s v="Anjali"/>
        <s v="Imran"/>
        <s v="Neha"/>
        <s v="Sanjay"/>
        <s v="Riya"/>
        <s v="Mohan"/>
        <s v="Swathi"/>
        <s v="Naveen"/>
        <s v="Bhavana"/>
        <s v="Ajay"/>
        <s v="Nisha"/>
        <s v="Prakash"/>
        <s v="Deepa"/>
        <s v="Vikas"/>
        <s v="Farah"/>
        <s v="Harish"/>
        <s v="Lakshmi"/>
        <s v="Surya"/>
        <s v="Keerthi"/>
        <s v="Faisal"/>
        <s v="Hema"/>
        <s v="Vinay"/>
        <s v="Shilpa"/>
        <s v="Rakesh"/>
        <s v="Sonia"/>
        <s v="Gopal"/>
        <s v="Aarti"/>
        <s v="Yusuf"/>
        <s v="Jyothi"/>
        <s v="Karthik"/>
        <s v="Sravani"/>
        <s v="Ashok"/>
        <s v="Reshma"/>
        <s v="Anand"/>
        <s v="Zara"/>
        <s v="Ravi"/>
        <s v="Anu"/>
        <s v="Salman"/>
        <s v="Ishita"/>
        <s v="Manoj"/>
        <s v="Noor"/>
        <s v="Tarun"/>
        <s v="Padmini"/>
        <s v="Vivek"/>
        <s v="Salma"/>
        <s v="Ashwin"/>
        <s v="Bhavya"/>
        <s v="Rohan"/>
        <s v="Tanya"/>
        <s v="Irfan"/>
        <s v="Suma"/>
        <s v="Kunal"/>
        <s v="Harika"/>
        <s v="Lokesh"/>
        <s v="Fathima"/>
        <s v="Naveed"/>
        <s v="Shruthi"/>
        <s v="Kishore"/>
        <s v="Harini"/>
        <s v="Uday"/>
        <s v="Sana"/>
        <s v="Rajesh"/>
        <s v="Nandini"/>
        <s v="Tejas"/>
        <s v="Muskan"/>
        <s v="Pavan"/>
        <s v="Shreya"/>
        <s v="Bharat"/>
        <s v="Komal"/>
        <s v="Faizan"/>
        <s v="Aisha"/>
        <s v="Sandeep"/>
        <s v="Roshni"/>
        <s v="Arun"/>
        <s v="Chandana"/>
        <s v="Dilip"/>
        <s v="Hina"/>
        <s v="Gautham"/>
        <s v="Pallavi"/>
        <s v="Shyam"/>
        <s v="Reema"/>
        <s v="Pranav"/>
        <s v="Mounika"/>
        <s v="Nitin"/>
        <s v="Alina"/>
      </sharedItems>
    </cacheField>
    <cacheField name="Gender" numFmtId="0">
      <sharedItems count="2">
        <s v="Male"/>
        <s v="Female"/>
      </sharedItems>
    </cacheField>
    <cacheField name="Department" numFmtId="0">
      <sharedItems count="5">
        <s v="IT"/>
        <s v="HR"/>
        <s v="Sales"/>
        <s v="Finance"/>
        <s v="Marketing"/>
      </sharedItems>
    </cacheField>
    <cacheField name="Age" numFmtId="0">
      <sharedItems containsSemiMixedTypes="0" containsString="0" containsNumber="1" containsInteger="1" minValue="23" maxValue="36"/>
    </cacheField>
    <cacheField name="Salary" numFmtId="168">
      <sharedItems containsSemiMixedTypes="0" containsString="0" containsNumber="1" containsInteger="1" minValue="34000" maxValue="70000"/>
    </cacheField>
    <cacheField name="Experience" numFmtId="0">
      <sharedItems containsSemiMixedTypes="0" containsString="0" containsNumber="1" containsInteger="1" minValue="1" maxValue="13"/>
    </cacheField>
    <cacheField name="Performance Rating" numFmtId="0">
      <sharedItems containsSemiMixedTypes="0" containsString="0" containsNumber="1" containsInteger="1" minValue="3" maxValue="5"/>
    </cacheField>
    <cacheField name="Attrition" numFmtId="0">
      <sharedItems count="2">
        <s v="No"/>
        <s v="Yes"/>
      </sharedItems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x v="0"/>
    <x v="0"/>
    <x v="0"/>
    <x v="0"/>
    <n v="24"/>
    <n v="35000"/>
    <n v="2"/>
    <n v="4"/>
    <x v="0"/>
    <s v="Hyderabad"/>
  </r>
  <r>
    <x v="1"/>
    <x v="1"/>
    <x v="1"/>
    <x v="1"/>
    <n v="29"/>
    <n v="42000"/>
    <n v="5"/>
    <n v="5"/>
    <x v="0"/>
    <s v="Chennai"/>
  </r>
  <r>
    <x v="2"/>
    <x v="2"/>
    <x v="0"/>
    <x v="2"/>
    <n v="27"/>
    <n v="39000"/>
    <n v="3"/>
    <n v="3"/>
    <x v="1"/>
    <s v="Bangalore"/>
  </r>
  <r>
    <x v="3"/>
    <x v="3"/>
    <x v="1"/>
    <x v="3"/>
    <n v="31"/>
    <n v="52000"/>
    <n v="7"/>
    <n v="4"/>
    <x v="0"/>
    <s v="Mumbai"/>
  </r>
  <r>
    <x v="4"/>
    <x v="4"/>
    <x v="0"/>
    <x v="0"/>
    <n v="26"/>
    <n v="41000"/>
    <n v="4"/>
    <n v="5"/>
    <x v="0"/>
    <s v="Hyderabad"/>
  </r>
  <r>
    <x v="5"/>
    <x v="5"/>
    <x v="1"/>
    <x v="4"/>
    <n v="28"/>
    <n v="45000"/>
    <n v="5"/>
    <n v="4"/>
    <x v="1"/>
    <s v="Delhi"/>
  </r>
  <r>
    <x v="6"/>
    <x v="6"/>
    <x v="0"/>
    <x v="1"/>
    <n v="35"/>
    <n v="56000"/>
    <n v="10"/>
    <n v="5"/>
    <x v="0"/>
    <s v="Pune"/>
  </r>
  <r>
    <x v="7"/>
    <x v="7"/>
    <x v="1"/>
    <x v="2"/>
    <n v="25"/>
    <n v="36000"/>
    <n v="2"/>
    <n v="3"/>
    <x v="1"/>
    <s v="Chennai"/>
  </r>
  <r>
    <x v="8"/>
    <x v="8"/>
    <x v="0"/>
    <x v="0"/>
    <n v="30"/>
    <n v="60000"/>
    <n v="8"/>
    <n v="5"/>
    <x v="0"/>
    <s v="Bangalore"/>
  </r>
  <r>
    <x v="9"/>
    <x v="9"/>
    <x v="1"/>
    <x v="3"/>
    <n v="32"/>
    <n v="55000"/>
    <n v="8"/>
    <n v="4"/>
    <x v="0"/>
    <s v="Hyderabad"/>
  </r>
  <r>
    <x v="10"/>
    <x v="10"/>
    <x v="0"/>
    <x v="4"/>
    <n v="27"/>
    <n v="40000"/>
    <n v="3"/>
    <n v="4"/>
    <x v="0"/>
    <s v="Mumbai"/>
  </r>
  <r>
    <x v="11"/>
    <x v="11"/>
    <x v="1"/>
    <x v="1"/>
    <n v="26"/>
    <n v="38000"/>
    <n v="2"/>
    <n v="3"/>
    <x v="1"/>
    <s v="Delhi"/>
  </r>
  <r>
    <x v="12"/>
    <x v="12"/>
    <x v="0"/>
    <x v="2"/>
    <n v="29"/>
    <n v="47000"/>
    <n v="5"/>
    <n v="4"/>
    <x v="0"/>
    <s v="Pune"/>
  </r>
  <r>
    <x v="13"/>
    <x v="13"/>
    <x v="1"/>
    <x v="0"/>
    <n v="23"/>
    <n v="34000"/>
    <n v="1"/>
    <n v="4"/>
    <x v="0"/>
    <s v="Bangalore"/>
  </r>
  <r>
    <x v="14"/>
    <x v="14"/>
    <x v="0"/>
    <x v="3"/>
    <n v="34"/>
    <n v="61000"/>
    <n v="9"/>
    <n v="5"/>
    <x v="0"/>
    <s v="Chennai"/>
  </r>
  <r>
    <x v="15"/>
    <x v="15"/>
    <x v="1"/>
    <x v="4"/>
    <n v="31"/>
    <n v="50000"/>
    <n v="7"/>
    <n v="4"/>
    <x v="1"/>
    <s v="Hyderabad"/>
  </r>
  <r>
    <x v="16"/>
    <x v="16"/>
    <x v="0"/>
    <x v="1"/>
    <n v="28"/>
    <n v="43000"/>
    <n v="4"/>
    <n v="4"/>
    <x v="0"/>
    <s v="Delhi"/>
  </r>
  <r>
    <x v="17"/>
    <x v="17"/>
    <x v="1"/>
    <x v="2"/>
    <n v="27"/>
    <n v="41000"/>
    <n v="3"/>
    <n v="3"/>
    <x v="0"/>
    <s v="Mumbai"/>
  </r>
  <r>
    <x v="18"/>
    <x v="18"/>
    <x v="0"/>
    <x v="0"/>
    <n v="33"/>
    <n v="64000"/>
    <n v="10"/>
    <n v="5"/>
    <x v="0"/>
    <s v="Pune"/>
  </r>
  <r>
    <x v="19"/>
    <x v="19"/>
    <x v="1"/>
    <x v="3"/>
    <n v="30"/>
    <n v="53000"/>
    <n v="6"/>
    <n v="4"/>
    <x v="1"/>
    <s v="Bangalore"/>
  </r>
  <r>
    <x v="20"/>
    <x v="20"/>
    <x v="0"/>
    <x v="4"/>
    <n v="25"/>
    <n v="36000"/>
    <n v="2"/>
    <n v="3"/>
    <x v="0"/>
    <s v="Hyderabad"/>
  </r>
  <r>
    <x v="21"/>
    <x v="21"/>
    <x v="1"/>
    <x v="1"/>
    <n v="27"/>
    <n v="42000"/>
    <n v="4"/>
    <n v="4"/>
    <x v="0"/>
    <s v="Chennai"/>
  </r>
  <r>
    <x v="22"/>
    <x v="22"/>
    <x v="0"/>
    <x v="0"/>
    <n v="29"/>
    <n v="49000"/>
    <n v="6"/>
    <n v="5"/>
    <x v="0"/>
    <s v="Delhi"/>
  </r>
  <r>
    <x v="23"/>
    <x v="23"/>
    <x v="1"/>
    <x v="2"/>
    <n v="24"/>
    <n v="35000"/>
    <n v="2"/>
    <n v="3"/>
    <x v="1"/>
    <s v="Pune"/>
  </r>
  <r>
    <x v="24"/>
    <x v="24"/>
    <x v="0"/>
    <x v="3"/>
    <n v="36"/>
    <n v="68000"/>
    <n v="12"/>
    <n v="5"/>
    <x v="0"/>
    <s v="Mumbai"/>
  </r>
  <r>
    <x v="25"/>
    <x v="25"/>
    <x v="1"/>
    <x v="4"/>
    <n v="29"/>
    <n v="46000"/>
    <n v="5"/>
    <n v="4"/>
    <x v="0"/>
    <s v="Bangalore"/>
  </r>
  <r>
    <x v="26"/>
    <x v="26"/>
    <x v="0"/>
    <x v="1"/>
    <n v="32"/>
    <n v="54000"/>
    <n v="8"/>
    <n v="5"/>
    <x v="0"/>
    <s v="Hyderabad"/>
  </r>
  <r>
    <x v="27"/>
    <x v="27"/>
    <x v="1"/>
    <x v="0"/>
    <n v="26"/>
    <n v="41000"/>
    <n v="3"/>
    <n v="4"/>
    <x v="1"/>
    <s v="Chennai"/>
  </r>
  <r>
    <x v="28"/>
    <x v="28"/>
    <x v="0"/>
    <x v="2"/>
    <n v="28"/>
    <n v="43000"/>
    <n v="4"/>
    <n v="4"/>
    <x v="0"/>
    <s v="Delhi"/>
  </r>
  <r>
    <x v="29"/>
    <x v="29"/>
    <x v="1"/>
    <x v="3"/>
    <n v="31"/>
    <n v="56000"/>
    <n v="7"/>
    <n v="5"/>
    <x v="0"/>
    <s v="Pune"/>
  </r>
  <r>
    <x v="30"/>
    <x v="30"/>
    <x v="0"/>
    <x v="4"/>
    <n v="30"/>
    <n v="49000"/>
    <n v="6"/>
    <n v="4"/>
    <x v="0"/>
    <s v="Mumbai"/>
  </r>
  <r>
    <x v="31"/>
    <x v="31"/>
    <x v="1"/>
    <x v="1"/>
    <n v="25"/>
    <n v="37000"/>
    <n v="2"/>
    <n v="3"/>
    <x v="1"/>
    <s v="Hyderabad"/>
  </r>
  <r>
    <x v="32"/>
    <x v="32"/>
    <x v="0"/>
    <x v="0"/>
    <n v="34"/>
    <n v="65000"/>
    <n v="11"/>
    <n v="5"/>
    <x v="0"/>
    <s v="Bangalore"/>
  </r>
  <r>
    <x v="33"/>
    <x v="33"/>
    <x v="1"/>
    <x v="2"/>
    <n v="27"/>
    <n v="42000"/>
    <n v="4"/>
    <n v="4"/>
    <x v="0"/>
    <s v="Chennai"/>
  </r>
  <r>
    <x v="34"/>
    <x v="34"/>
    <x v="0"/>
    <x v="3"/>
    <n v="33"/>
    <n v="59000"/>
    <n v="9"/>
    <n v="5"/>
    <x v="0"/>
    <s v="Delhi"/>
  </r>
  <r>
    <x v="35"/>
    <x v="35"/>
    <x v="1"/>
    <x v="4"/>
    <n v="28"/>
    <n v="45000"/>
    <n v="5"/>
    <n v="4"/>
    <x v="1"/>
    <s v="Mumbai"/>
  </r>
  <r>
    <x v="36"/>
    <x v="36"/>
    <x v="0"/>
    <x v="1"/>
    <n v="29"/>
    <n v="47000"/>
    <n v="5"/>
    <n v="4"/>
    <x v="0"/>
    <s v="Pune"/>
  </r>
  <r>
    <x v="37"/>
    <x v="37"/>
    <x v="1"/>
    <x v="0"/>
    <n v="24"/>
    <n v="35000"/>
    <n v="2"/>
    <n v="3"/>
    <x v="0"/>
    <s v="Hyderabad"/>
  </r>
  <r>
    <x v="38"/>
    <x v="38"/>
    <x v="0"/>
    <x v="2"/>
    <n v="31"/>
    <n v="52000"/>
    <n v="7"/>
    <n v="5"/>
    <x v="0"/>
    <s v="Bangalore"/>
  </r>
  <r>
    <x v="39"/>
    <x v="39"/>
    <x v="1"/>
    <x v="3"/>
    <n v="30"/>
    <n v="54000"/>
    <n v="7"/>
    <n v="4"/>
    <x v="1"/>
    <s v="Chennai"/>
  </r>
  <r>
    <x v="40"/>
    <x v="40"/>
    <x v="0"/>
    <x v="4"/>
    <n v="27"/>
    <n v="41000"/>
    <n v="3"/>
    <n v="4"/>
    <x v="0"/>
    <s v="Delhi"/>
  </r>
  <r>
    <x v="41"/>
    <x v="41"/>
    <x v="1"/>
    <x v="1"/>
    <n v="26"/>
    <n v="39000"/>
    <n v="3"/>
    <n v="4"/>
    <x v="0"/>
    <s v="Mumbai"/>
  </r>
  <r>
    <x v="42"/>
    <x v="42"/>
    <x v="0"/>
    <x v="0"/>
    <n v="35"/>
    <n v="70000"/>
    <n v="13"/>
    <n v="5"/>
    <x v="0"/>
    <s v="Pune"/>
  </r>
  <r>
    <x v="43"/>
    <x v="43"/>
    <x v="1"/>
    <x v="2"/>
    <n v="28"/>
    <n v="44000"/>
    <n v="5"/>
    <n v="4"/>
    <x v="1"/>
    <s v="Hyderabad"/>
  </r>
  <r>
    <x v="44"/>
    <x v="44"/>
    <x v="0"/>
    <x v="3"/>
    <n v="32"/>
    <n v="57000"/>
    <n v="8"/>
    <n v="5"/>
    <x v="0"/>
    <s v="Bangalore"/>
  </r>
  <r>
    <x v="45"/>
    <x v="45"/>
    <x v="1"/>
    <x v="4"/>
    <n v="25"/>
    <n v="38000"/>
    <n v="2"/>
    <n v="3"/>
    <x v="0"/>
    <s v="Chennai"/>
  </r>
  <r>
    <x v="46"/>
    <x v="46"/>
    <x v="0"/>
    <x v="1"/>
    <n v="30"/>
    <n v="51000"/>
    <n v="6"/>
    <n v="5"/>
    <x v="0"/>
    <s v="Delhi"/>
  </r>
  <r>
    <x v="47"/>
    <x v="47"/>
    <x v="1"/>
    <x v="0"/>
    <n v="29"/>
    <n v="47000"/>
    <n v="5"/>
    <n v="4"/>
    <x v="1"/>
    <s v="Mumbai"/>
  </r>
  <r>
    <x v="48"/>
    <x v="48"/>
    <x v="0"/>
    <x v="2"/>
    <n v="33"/>
    <n v="56000"/>
    <n v="8"/>
    <n v="5"/>
    <x v="0"/>
    <s v="Pune"/>
  </r>
  <r>
    <x v="49"/>
    <x v="49"/>
    <x v="1"/>
    <x v="3"/>
    <n v="27"/>
    <n v="45000"/>
    <n v="4"/>
    <n v="4"/>
    <x v="0"/>
    <s v="Hyderabad"/>
  </r>
  <r>
    <x v="50"/>
    <x v="50"/>
    <x v="0"/>
    <x v="0"/>
    <n v="26"/>
    <n v="40000"/>
    <n v="3"/>
    <n v="4"/>
    <x v="0"/>
    <s v="Chennai"/>
  </r>
  <r>
    <x v="51"/>
    <x v="51"/>
    <x v="1"/>
    <x v="1"/>
    <n v="28"/>
    <n v="43000"/>
    <n v="4"/>
    <n v="4"/>
    <x v="0"/>
    <s v="Bangalore"/>
  </r>
  <r>
    <x v="52"/>
    <x v="52"/>
    <x v="0"/>
    <x v="4"/>
    <n v="31"/>
    <n v="51000"/>
    <n v="7"/>
    <n v="5"/>
    <x v="1"/>
    <s v="Delhi"/>
  </r>
  <r>
    <x v="53"/>
    <x v="53"/>
    <x v="1"/>
    <x v="2"/>
    <n v="24"/>
    <n v="36000"/>
    <n v="2"/>
    <n v="3"/>
    <x v="0"/>
    <s v="Mumbai"/>
  </r>
  <r>
    <x v="54"/>
    <x v="54"/>
    <x v="0"/>
    <x v="3"/>
    <n v="35"/>
    <n v="65000"/>
    <n v="11"/>
    <n v="5"/>
    <x v="0"/>
    <s v="Pune"/>
  </r>
  <r>
    <x v="55"/>
    <x v="55"/>
    <x v="1"/>
    <x v="0"/>
    <n v="27"/>
    <n v="44000"/>
    <n v="4"/>
    <n v="4"/>
    <x v="1"/>
    <s v="Hyderabad"/>
  </r>
  <r>
    <x v="56"/>
    <x v="56"/>
    <x v="0"/>
    <x v="1"/>
    <n v="29"/>
    <n v="46000"/>
    <n v="5"/>
    <n v="5"/>
    <x v="0"/>
    <s v="Chennai"/>
  </r>
  <r>
    <x v="57"/>
    <x v="57"/>
    <x v="1"/>
    <x v="4"/>
    <n v="30"/>
    <n v="50000"/>
    <n v="6"/>
    <n v="4"/>
    <x v="0"/>
    <s v="Bangalore"/>
  </r>
  <r>
    <x v="58"/>
    <x v="58"/>
    <x v="0"/>
    <x v="2"/>
    <n v="28"/>
    <n v="42000"/>
    <n v="4"/>
    <n v="4"/>
    <x v="0"/>
    <s v="Delhi"/>
  </r>
  <r>
    <x v="59"/>
    <x v="59"/>
    <x v="1"/>
    <x v="3"/>
    <n v="32"/>
    <n v="58000"/>
    <n v="8"/>
    <n v="5"/>
    <x v="1"/>
    <s v="Mumbai"/>
  </r>
  <r>
    <x v="60"/>
    <x v="60"/>
    <x v="0"/>
    <x v="0"/>
    <n v="25"/>
    <n v="37000"/>
    <n v="2"/>
    <n v="3"/>
    <x v="0"/>
    <s v="Pune"/>
  </r>
  <r>
    <x v="61"/>
    <x v="61"/>
    <x v="1"/>
    <x v="1"/>
    <n v="27"/>
    <n v="42000"/>
    <n v="4"/>
    <n v="4"/>
    <x v="0"/>
    <s v="Hyderabad"/>
  </r>
  <r>
    <x v="62"/>
    <x v="62"/>
    <x v="0"/>
    <x v="4"/>
    <n v="34"/>
    <n v="62000"/>
    <n v="10"/>
    <n v="5"/>
    <x v="0"/>
    <s v="Chennai"/>
  </r>
  <r>
    <x v="63"/>
    <x v="63"/>
    <x v="1"/>
    <x v="2"/>
    <n v="26"/>
    <n v="39000"/>
    <n v="3"/>
    <n v="3"/>
    <x v="1"/>
    <s v="Bangalore"/>
  </r>
  <r>
    <x v="64"/>
    <x v="64"/>
    <x v="0"/>
    <x v="3"/>
    <n v="31"/>
    <n v="55000"/>
    <n v="7"/>
    <n v="4"/>
    <x v="0"/>
    <s v="Delhi"/>
  </r>
  <r>
    <x v="65"/>
    <x v="65"/>
    <x v="1"/>
    <x v="0"/>
    <n v="29"/>
    <n v="48000"/>
    <n v="5"/>
    <n v="4"/>
    <x v="0"/>
    <s v="Mumbai"/>
  </r>
  <r>
    <x v="66"/>
    <x v="66"/>
    <x v="0"/>
    <x v="1"/>
    <n v="33"/>
    <n v="56000"/>
    <n v="8"/>
    <n v="5"/>
    <x v="0"/>
    <s v="Pune"/>
  </r>
  <r>
    <x v="67"/>
    <x v="67"/>
    <x v="1"/>
    <x v="4"/>
    <n v="28"/>
    <n v="45000"/>
    <n v="5"/>
    <n v="4"/>
    <x v="1"/>
    <s v="Hyderabad"/>
  </r>
  <r>
    <x v="68"/>
    <x v="68"/>
    <x v="0"/>
    <x v="2"/>
    <n v="30"/>
    <n v="50000"/>
    <n v="6"/>
    <n v="5"/>
    <x v="0"/>
    <s v="Chennai"/>
  </r>
  <r>
    <x v="69"/>
    <x v="69"/>
    <x v="1"/>
    <x v="3"/>
    <n v="27"/>
    <n v="46000"/>
    <n v="4"/>
    <n v="4"/>
    <x v="0"/>
    <s v="Bangalore"/>
  </r>
  <r>
    <x v="70"/>
    <x v="70"/>
    <x v="0"/>
    <x v="0"/>
    <n v="32"/>
    <n v="59000"/>
    <n v="8"/>
    <n v="5"/>
    <x v="0"/>
    <s v="Delhi"/>
  </r>
  <r>
    <x v="71"/>
    <x v="71"/>
    <x v="1"/>
    <x v="1"/>
    <n v="25"/>
    <n v="38000"/>
    <n v="2"/>
    <n v="3"/>
    <x v="1"/>
    <s v="Mumbai"/>
  </r>
  <r>
    <x v="72"/>
    <x v="72"/>
    <x v="0"/>
    <x v="4"/>
    <n v="29"/>
    <n v="47000"/>
    <n v="5"/>
    <n v="4"/>
    <x v="0"/>
    <s v="Pune"/>
  </r>
  <r>
    <x v="73"/>
    <x v="73"/>
    <x v="1"/>
    <x v="2"/>
    <n v="24"/>
    <n v="35000"/>
    <n v="2"/>
    <n v="3"/>
    <x v="0"/>
    <s v="Hyderabad"/>
  </r>
  <r>
    <x v="74"/>
    <x v="74"/>
    <x v="0"/>
    <x v="3"/>
    <n v="36"/>
    <n v="69000"/>
    <n v="12"/>
    <n v="5"/>
    <x v="0"/>
    <s v="Chennai"/>
  </r>
  <r>
    <x v="75"/>
    <x v="75"/>
    <x v="1"/>
    <x v="0"/>
    <n v="28"/>
    <n v="45000"/>
    <n v="5"/>
    <n v="4"/>
    <x v="1"/>
    <s v="Bangalore"/>
  </r>
  <r>
    <x v="76"/>
    <x v="76"/>
    <x v="0"/>
    <x v="1"/>
    <n v="31"/>
    <n v="52000"/>
    <n v="7"/>
    <n v="5"/>
    <x v="0"/>
    <s v="Delhi"/>
  </r>
  <r>
    <x v="77"/>
    <x v="77"/>
    <x v="1"/>
    <x v="4"/>
    <n v="27"/>
    <n v="43000"/>
    <n v="4"/>
    <n v="4"/>
    <x v="0"/>
    <s v="Mumbai"/>
  </r>
  <r>
    <x v="78"/>
    <x v="78"/>
    <x v="0"/>
    <x v="2"/>
    <n v="29"/>
    <n v="47000"/>
    <n v="5"/>
    <n v="4"/>
    <x v="0"/>
    <s v="Pune"/>
  </r>
  <r>
    <x v="79"/>
    <x v="79"/>
    <x v="1"/>
    <x v="3"/>
    <n v="30"/>
    <n v="54000"/>
    <n v="7"/>
    <n v="5"/>
    <x v="1"/>
    <s v="Hyderabad"/>
  </r>
  <r>
    <x v="80"/>
    <x v="80"/>
    <x v="0"/>
    <x v="0"/>
    <n v="26"/>
    <n v="41000"/>
    <n v="3"/>
    <n v="4"/>
    <x v="0"/>
    <s v="Chennai"/>
  </r>
  <r>
    <x v="81"/>
    <x v="81"/>
    <x v="1"/>
    <x v="1"/>
    <n v="28"/>
    <n v="44000"/>
    <n v="4"/>
    <n v="4"/>
    <x v="0"/>
    <s v="Bangalore"/>
  </r>
  <r>
    <x v="82"/>
    <x v="82"/>
    <x v="0"/>
    <x v="4"/>
    <n v="33"/>
    <n v="60000"/>
    <n v="9"/>
    <n v="5"/>
    <x v="0"/>
    <s v="Delhi"/>
  </r>
  <r>
    <x v="83"/>
    <x v="83"/>
    <x v="1"/>
    <x v="2"/>
    <n v="25"/>
    <n v="38000"/>
    <n v="2"/>
    <n v="3"/>
    <x v="1"/>
    <s v="Mumbai"/>
  </r>
  <r>
    <x v="84"/>
    <x v="84"/>
    <x v="0"/>
    <x v="3"/>
    <n v="34"/>
    <n v="62000"/>
    <n v="10"/>
    <n v="5"/>
    <x v="0"/>
    <s v="Pune"/>
  </r>
  <r>
    <x v="85"/>
    <x v="85"/>
    <x v="1"/>
    <x v="0"/>
    <n v="27"/>
    <n v="44000"/>
    <n v="4"/>
    <n v="4"/>
    <x v="0"/>
    <s v="Hyderabad"/>
  </r>
  <r>
    <x v="86"/>
    <x v="86"/>
    <x v="0"/>
    <x v="1"/>
    <n v="30"/>
    <n v="49000"/>
    <n v="6"/>
    <n v="5"/>
    <x v="0"/>
    <s v="Chennai"/>
  </r>
  <r>
    <x v="87"/>
    <x v="87"/>
    <x v="1"/>
    <x v="4"/>
    <n v="29"/>
    <n v="47000"/>
    <n v="5"/>
    <n v="4"/>
    <x v="1"/>
    <s v="Bangalore"/>
  </r>
  <r>
    <x v="88"/>
    <x v="88"/>
    <x v="0"/>
    <x v="2"/>
    <n v="31"/>
    <n v="53000"/>
    <n v="7"/>
    <n v="5"/>
    <x v="0"/>
    <s v="Delhi"/>
  </r>
  <r>
    <x v="89"/>
    <x v="89"/>
    <x v="1"/>
    <x v="3"/>
    <n v="28"/>
    <n v="47000"/>
    <n v="5"/>
    <n v="4"/>
    <x v="0"/>
    <s v="Mumbai"/>
  </r>
  <r>
    <x v="90"/>
    <x v="90"/>
    <x v="0"/>
    <x v="0"/>
    <n v="35"/>
    <n v="68000"/>
    <n v="12"/>
    <n v="5"/>
    <x v="0"/>
    <s v="Pune"/>
  </r>
  <r>
    <x v="91"/>
    <x v="91"/>
    <x v="1"/>
    <x v="1"/>
    <n v="26"/>
    <n v="39000"/>
    <n v="3"/>
    <n v="3"/>
    <x v="1"/>
    <s v="Hyderabad"/>
  </r>
  <r>
    <x v="92"/>
    <x v="92"/>
    <x v="0"/>
    <x v="4"/>
    <n v="32"/>
    <n v="56000"/>
    <n v="8"/>
    <n v="5"/>
    <x v="0"/>
    <s v="Chennai"/>
  </r>
  <r>
    <x v="93"/>
    <x v="93"/>
    <x v="1"/>
    <x v="2"/>
    <n v="27"/>
    <n v="42000"/>
    <n v="4"/>
    <n v="4"/>
    <x v="0"/>
    <s v="Bangalore"/>
  </r>
  <r>
    <x v="94"/>
    <x v="94"/>
    <x v="0"/>
    <x v="3"/>
    <n v="30"/>
    <n v="52000"/>
    <n v="6"/>
    <n v="5"/>
    <x v="0"/>
    <s v="Delhi"/>
  </r>
  <r>
    <x v="95"/>
    <x v="95"/>
    <x v="1"/>
    <x v="0"/>
    <n v="24"/>
    <n v="36000"/>
    <n v="2"/>
    <n v="3"/>
    <x v="1"/>
    <s v="Mumbai"/>
  </r>
  <r>
    <x v="96"/>
    <x v="96"/>
    <x v="0"/>
    <x v="1"/>
    <n v="29"/>
    <n v="47000"/>
    <n v="5"/>
    <n v="4"/>
    <x v="0"/>
    <s v="Pune"/>
  </r>
  <r>
    <x v="97"/>
    <x v="97"/>
    <x v="1"/>
    <x v="4"/>
    <n v="28"/>
    <n v="45000"/>
    <n v="5"/>
    <n v="4"/>
    <x v="0"/>
    <s v="Hyderabad"/>
  </r>
  <r>
    <x v="98"/>
    <x v="98"/>
    <x v="0"/>
    <x v="2"/>
    <n v="33"/>
    <n v="57000"/>
    <n v="9"/>
    <n v="5"/>
    <x v="0"/>
    <s v="Chennai"/>
  </r>
  <r>
    <x v="99"/>
    <x v="99"/>
    <x v="1"/>
    <x v="3"/>
    <n v="31"/>
    <n v="55000"/>
    <n v="7"/>
    <n v="5"/>
    <x v="0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A05F58-2B37-4091-9E2E-72DA402D1EDE}" name="PivotTable5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72:B78" firstHeaderRow="1" firstDataRow="1" firstDataCol="1" rowPageCount="1" colPageCount="1"/>
  <pivotFields count="10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>
      <items count="101">
        <item x="41"/>
        <item x="85"/>
        <item x="24"/>
        <item x="8"/>
        <item x="99"/>
        <item x="48"/>
        <item x="15"/>
        <item x="51"/>
        <item x="2"/>
        <item x="88"/>
        <item x="46"/>
        <item x="60"/>
        <item x="5"/>
        <item x="82"/>
        <item x="23"/>
        <item x="61"/>
        <item x="89"/>
        <item x="27"/>
        <item x="90"/>
        <item x="9"/>
        <item x="34"/>
        <item x="84"/>
        <item x="29"/>
        <item x="69"/>
        <item x="92"/>
        <item x="40"/>
        <item x="67"/>
        <item x="73"/>
        <item x="30"/>
        <item x="35"/>
        <item x="91"/>
        <item x="16"/>
        <item x="64"/>
        <item x="53"/>
        <item x="43"/>
        <item x="44"/>
        <item x="13"/>
        <item x="33"/>
        <item x="4"/>
        <item x="72"/>
        <item x="83"/>
        <item x="66"/>
        <item x="31"/>
        <item x="68"/>
        <item x="54"/>
        <item x="7"/>
        <item x="20"/>
        <item x="97"/>
        <item x="79"/>
        <item x="77"/>
        <item x="70"/>
        <item x="22"/>
        <item x="17"/>
        <item x="10"/>
        <item x="25"/>
        <item x="98"/>
        <item x="55"/>
        <item x="57"/>
        <item x="93"/>
        <item x="80"/>
        <item x="11"/>
        <item x="26"/>
        <item x="96"/>
        <item x="3"/>
        <item x="0"/>
        <item x="76"/>
        <item x="38"/>
        <item x="50"/>
        <item x="95"/>
        <item x="47"/>
        <item x="19"/>
        <item x="62"/>
        <item x="6"/>
        <item x="87"/>
        <item x="59"/>
        <item x="52"/>
        <item x="14"/>
        <item x="75"/>
        <item x="86"/>
        <item x="18"/>
        <item x="37"/>
        <item x="81"/>
        <item x="71"/>
        <item x="94"/>
        <item x="1"/>
        <item x="39"/>
        <item x="45"/>
        <item x="65"/>
        <item x="32"/>
        <item x="21"/>
        <item x="63"/>
        <item x="56"/>
        <item x="78"/>
        <item x="74"/>
        <item x="12"/>
        <item x="28"/>
        <item x="36"/>
        <item x="58"/>
        <item x="42"/>
        <item x="49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numFmtId="168" showAll="0"/>
    <pivotField showAll="0"/>
    <pivotField showAll="0"/>
    <pivotField axis="axisPage" dataField="1" showAll="0" includeNewItemsInFilter="1">
      <items count="3">
        <item x="0"/>
        <item x="1"/>
        <item t="default"/>
      </items>
    </pivotField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8" item="1" hier="-1"/>
  </pageFields>
  <dataFields count="1">
    <dataField name="Count of Attrition" fld="8" subtotal="count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CE22F1-4FE9-481A-B469-BCDA097E442F}" name="PivotTable4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8">
  <location ref="A53:B59" firstHeaderRow="1" firstDataRow="1" firstDataCol="1"/>
  <pivotFields count="10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>
      <items count="101">
        <item x="41"/>
        <item x="85"/>
        <item x="24"/>
        <item x="8"/>
        <item x="99"/>
        <item x="48"/>
        <item x="15"/>
        <item x="51"/>
        <item x="2"/>
        <item x="88"/>
        <item x="46"/>
        <item x="60"/>
        <item x="5"/>
        <item x="82"/>
        <item x="23"/>
        <item x="61"/>
        <item x="89"/>
        <item x="27"/>
        <item x="90"/>
        <item x="9"/>
        <item x="34"/>
        <item x="84"/>
        <item x="29"/>
        <item x="69"/>
        <item x="92"/>
        <item x="40"/>
        <item x="67"/>
        <item x="73"/>
        <item x="30"/>
        <item x="35"/>
        <item x="91"/>
        <item x="16"/>
        <item x="64"/>
        <item x="53"/>
        <item x="43"/>
        <item x="44"/>
        <item x="13"/>
        <item x="33"/>
        <item x="4"/>
        <item x="72"/>
        <item x="83"/>
        <item x="66"/>
        <item x="31"/>
        <item x="68"/>
        <item x="54"/>
        <item x="7"/>
        <item x="20"/>
        <item x="97"/>
        <item x="79"/>
        <item x="77"/>
        <item x="70"/>
        <item x="22"/>
        <item x="17"/>
        <item x="10"/>
        <item x="25"/>
        <item x="98"/>
        <item x="55"/>
        <item x="57"/>
        <item x="93"/>
        <item x="80"/>
        <item x="11"/>
        <item x="26"/>
        <item x="96"/>
        <item x="3"/>
        <item x="0"/>
        <item x="76"/>
        <item x="38"/>
        <item x="50"/>
        <item x="95"/>
        <item x="47"/>
        <item x="19"/>
        <item x="62"/>
        <item x="6"/>
        <item x="87"/>
        <item x="59"/>
        <item x="52"/>
        <item x="14"/>
        <item x="75"/>
        <item x="86"/>
        <item x="18"/>
        <item x="37"/>
        <item x="81"/>
        <item x="71"/>
        <item x="94"/>
        <item x="1"/>
        <item x="39"/>
        <item x="45"/>
        <item x="65"/>
        <item x="32"/>
        <item x="21"/>
        <item x="63"/>
        <item x="56"/>
        <item x="78"/>
        <item x="74"/>
        <item x="12"/>
        <item x="28"/>
        <item x="36"/>
        <item x="58"/>
        <item x="42"/>
        <item x="49"/>
        <item t="default"/>
      </items>
    </pivotField>
    <pivotField showAll="0">
      <items count="3">
        <item x="1"/>
        <item x="0"/>
        <item t="default"/>
      </items>
    </pivotField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numFmtId="168" showAll="0"/>
    <pivotField showAll="0"/>
    <pivotField dataField="1"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Average of Performance Rating" fld="7" subtotal="average" baseField="3" baseItem="0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800814-1D2B-4BD9-8F3E-CA8A0FC05E80}" name="PivotTable3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6:B42" firstHeaderRow="1" firstDataRow="1" firstDataCol="1"/>
  <pivotFields count="10">
    <pivotField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>
      <items count="101">
        <item x="41"/>
        <item x="85"/>
        <item x="24"/>
        <item x="8"/>
        <item x="99"/>
        <item x="48"/>
        <item x="15"/>
        <item x="51"/>
        <item x="2"/>
        <item x="88"/>
        <item x="46"/>
        <item x="60"/>
        <item x="5"/>
        <item x="82"/>
        <item x="23"/>
        <item x="61"/>
        <item x="89"/>
        <item x="27"/>
        <item x="90"/>
        <item x="9"/>
        <item x="34"/>
        <item x="84"/>
        <item x="29"/>
        <item x="69"/>
        <item x="92"/>
        <item x="40"/>
        <item x="67"/>
        <item x="73"/>
        <item x="30"/>
        <item x="35"/>
        <item x="91"/>
        <item x="16"/>
        <item x="64"/>
        <item x="53"/>
        <item x="43"/>
        <item x="44"/>
        <item x="13"/>
        <item x="33"/>
        <item x="4"/>
        <item x="72"/>
        <item x="83"/>
        <item x="66"/>
        <item x="31"/>
        <item x="68"/>
        <item x="54"/>
        <item x="7"/>
        <item x="20"/>
        <item x="97"/>
        <item x="79"/>
        <item x="77"/>
        <item x="70"/>
        <item x="22"/>
        <item x="17"/>
        <item x="10"/>
        <item x="25"/>
        <item x="98"/>
        <item x="55"/>
        <item x="57"/>
        <item x="93"/>
        <item x="80"/>
        <item x="11"/>
        <item x="26"/>
        <item x="96"/>
        <item x="3"/>
        <item x="0"/>
        <item x="76"/>
        <item x="38"/>
        <item x="50"/>
        <item x="95"/>
        <item x="47"/>
        <item x="19"/>
        <item x="62"/>
        <item x="6"/>
        <item x="87"/>
        <item x="59"/>
        <item x="52"/>
        <item x="14"/>
        <item x="75"/>
        <item x="86"/>
        <item x="18"/>
        <item x="37"/>
        <item x="81"/>
        <item x="71"/>
        <item x="94"/>
        <item x="1"/>
        <item x="39"/>
        <item x="45"/>
        <item x="65"/>
        <item x="32"/>
        <item x="21"/>
        <item x="63"/>
        <item x="56"/>
        <item x="78"/>
        <item x="74"/>
        <item x="12"/>
        <item x="28"/>
        <item x="36"/>
        <item x="58"/>
        <item x="42"/>
        <item x="49"/>
        <item t="default"/>
      </items>
    </pivotField>
    <pivotField showAll="0">
      <items count="3">
        <item x="1"/>
        <item x="0"/>
        <item t="default"/>
      </items>
    </pivotField>
    <pivotField axis="axisRow" showAll="0" sortType="descending">
      <items count="6">
        <item x="3"/>
        <item x="1"/>
        <item x="0"/>
        <item x="4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168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2"/>
    </i>
    <i>
      <x v="3"/>
    </i>
    <i>
      <x v="1"/>
    </i>
    <i>
      <x v="4"/>
    </i>
    <i t="grand">
      <x/>
    </i>
  </rowItems>
  <colItems count="1">
    <i/>
  </colItems>
  <dataFields count="1">
    <dataField name="Average of Salary" fld="5" subtotal="average" baseField="3" baseItem="0" numFmtId="168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B1C53E-8CD3-447B-AD7C-A80E8FFCD6F5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18:B21" firstHeaderRow="1" firstDataRow="1" firstDataCol="1"/>
  <pivotFields count="10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>
      <items count="101">
        <item x="41"/>
        <item x="85"/>
        <item x="24"/>
        <item x="8"/>
        <item x="99"/>
        <item x="48"/>
        <item x="15"/>
        <item x="51"/>
        <item x="2"/>
        <item x="88"/>
        <item x="46"/>
        <item x="60"/>
        <item x="5"/>
        <item x="82"/>
        <item x="23"/>
        <item x="61"/>
        <item x="89"/>
        <item x="27"/>
        <item x="90"/>
        <item x="9"/>
        <item x="34"/>
        <item x="84"/>
        <item x="29"/>
        <item x="69"/>
        <item x="92"/>
        <item x="40"/>
        <item x="67"/>
        <item x="73"/>
        <item x="30"/>
        <item x="35"/>
        <item x="91"/>
        <item x="16"/>
        <item x="64"/>
        <item x="53"/>
        <item x="43"/>
        <item x="44"/>
        <item x="13"/>
        <item x="33"/>
        <item x="4"/>
        <item x="72"/>
        <item x="83"/>
        <item x="66"/>
        <item x="31"/>
        <item x="68"/>
        <item x="54"/>
        <item x="7"/>
        <item x="20"/>
        <item x="97"/>
        <item x="79"/>
        <item x="77"/>
        <item x="70"/>
        <item x="22"/>
        <item x="17"/>
        <item x="10"/>
        <item x="25"/>
        <item x="98"/>
        <item x="55"/>
        <item x="57"/>
        <item x="93"/>
        <item x="80"/>
        <item x="11"/>
        <item x="26"/>
        <item x="96"/>
        <item x="3"/>
        <item x="0"/>
        <item x="76"/>
        <item x="38"/>
        <item x="50"/>
        <item x="95"/>
        <item x="47"/>
        <item x="19"/>
        <item x="62"/>
        <item x="6"/>
        <item x="87"/>
        <item x="59"/>
        <item x="52"/>
        <item x="14"/>
        <item x="75"/>
        <item x="86"/>
        <item x="18"/>
        <item x="37"/>
        <item x="81"/>
        <item x="71"/>
        <item x="94"/>
        <item x="1"/>
        <item x="39"/>
        <item x="45"/>
        <item x="65"/>
        <item x="32"/>
        <item x="21"/>
        <item x="63"/>
        <item x="56"/>
        <item x="78"/>
        <item x="74"/>
        <item x="12"/>
        <item x="28"/>
        <item x="36"/>
        <item x="58"/>
        <item x="42"/>
        <item x="49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6">
        <item x="3"/>
        <item x="1"/>
        <item x="0"/>
        <item x="4"/>
        <item x="2"/>
        <item t="default"/>
      </items>
    </pivotField>
    <pivotField showAll="0"/>
    <pivotField numFmtId="168"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Employee ID" fld="0" subtotal="count" baseField="0" baseItem="0"/>
  </dataFields>
  <chartFormats count="5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5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7" format="6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48A4C8-FCD5-4BF5-B229-9D658C7B8F7E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1:B7" firstHeaderRow="1" firstDataRow="1" firstDataCol="1"/>
  <pivotFields count="10">
    <pivotField dataField="1" showAll="0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showAll="0">
      <items count="101">
        <item x="41"/>
        <item x="85"/>
        <item x="24"/>
        <item x="8"/>
        <item x="99"/>
        <item x="48"/>
        <item x="15"/>
        <item x="51"/>
        <item x="2"/>
        <item x="88"/>
        <item x="46"/>
        <item x="60"/>
        <item x="5"/>
        <item x="82"/>
        <item x="23"/>
        <item x="61"/>
        <item x="89"/>
        <item x="27"/>
        <item x="90"/>
        <item x="9"/>
        <item x="34"/>
        <item x="84"/>
        <item x="29"/>
        <item x="69"/>
        <item x="92"/>
        <item x="40"/>
        <item x="67"/>
        <item x="73"/>
        <item x="30"/>
        <item x="35"/>
        <item x="91"/>
        <item x="16"/>
        <item x="64"/>
        <item x="53"/>
        <item x="43"/>
        <item x="44"/>
        <item x="13"/>
        <item x="33"/>
        <item x="4"/>
        <item x="72"/>
        <item x="83"/>
        <item x="66"/>
        <item x="31"/>
        <item x="68"/>
        <item x="54"/>
        <item x="7"/>
        <item x="20"/>
        <item x="97"/>
        <item x="79"/>
        <item x="77"/>
        <item x="70"/>
        <item x="22"/>
        <item x="17"/>
        <item x="10"/>
        <item x="25"/>
        <item x="98"/>
        <item x="55"/>
        <item x="57"/>
        <item x="93"/>
        <item x="80"/>
        <item x="11"/>
        <item x="26"/>
        <item x="96"/>
        <item x="3"/>
        <item x="0"/>
        <item x="76"/>
        <item x="38"/>
        <item x="50"/>
        <item x="95"/>
        <item x="47"/>
        <item x="19"/>
        <item x="62"/>
        <item x="6"/>
        <item x="87"/>
        <item x="59"/>
        <item x="52"/>
        <item x="14"/>
        <item x="75"/>
        <item x="86"/>
        <item x="18"/>
        <item x="37"/>
        <item x="81"/>
        <item x="71"/>
        <item x="94"/>
        <item x="1"/>
        <item x="39"/>
        <item x="45"/>
        <item x="65"/>
        <item x="32"/>
        <item x="21"/>
        <item x="63"/>
        <item x="56"/>
        <item x="78"/>
        <item x="74"/>
        <item x="12"/>
        <item x="28"/>
        <item x="36"/>
        <item x="58"/>
        <item x="42"/>
        <item x="49"/>
        <item t="default"/>
      </items>
    </pivotField>
    <pivotField showAll="0"/>
    <pivotField axis="axisRow" showAll="0">
      <items count="6">
        <item x="3"/>
        <item x="1"/>
        <item x="0"/>
        <item x="4"/>
        <item x="2"/>
        <item t="default"/>
      </items>
    </pivotField>
    <pivotField showAll="0"/>
    <pivotField numFmtId="168" showAll="0"/>
    <pivotField showAll="0"/>
    <pivotField showAll="0"/>
    <pivotField showAll="0"/>
    <pivotField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Employee ID" fld="0" subtotal="count" baseField="0" baseItem="0"/>
  </dataFields>
  <chartFormats count="2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1C5089-53DA-4F5E-B13B-87C3579D1299}" name="Table2" displayName="Table2" ref="A1:J102" totalsRowCount="1" headerRowDxfId="13" dataDxfId="14">
  <autoFilter ref="A1:J101" xr:uid="{051C5089-53DA-4F5E-B13B-87C3579D1299}"/>
  <tableColumns count="10">
    <tableColumn id="1" xr3:uid="{5DC86CA0-3B99-4ADE-AEF7-F624D406CCB2}" name="Employee ID" dataDxfId="21" totalsRowDxfId="9"/>
    <tableColumn id="2" xr3:uid="{A5119D25-EF58-4A9C-B63D-72D8D9F01AE9}" name="Name" dataDxfId="20" totalsRowDxfId="8"/>
    <tableColumn id="3" xr3:uid="{17739FE5-B828-4077-9CEF-D75D86A7F60B}" name="Gender" dataDxfId="19" totalsRowDxfId="7"/>
    <tableColumn id="4" xr3:uid="{78762909-AB84-49E8-8A82-7B851CCC98F0}" name="Department" dataDxfId="18" totalsRowDxfId="6"/>
    <tableColumn id="5" xr3:uid="{CAC18B69-95B8-48E7-ACDA-AC1DBD191C94}" name="Age" totalsRowFunction="custom" dataDxfId="12" totalsRowDxfId="5">
      <totalsRowFormula>AVERAGE(E2:E101)</totalsRowFormula>
    </tableColumn>
    <tableColumn id="6" xr3:uid="{D895723B-AA00-4A49-A66D-E50EE6731032}" name="Salary" dataDxfId="10" totalsRowDxfId="4"/>
    <tableColumn id="7" xr3:uid="{44F220AE-E10D-4C31-B10B-4D327E7AB652}" name="Experience" dataDxfId="11" totalsRowDxfId="3"/>
    <tableColumn id="8" xr3:uid="{B92BEBA9-26DC-4487-8F5F-A8379C08623B}" name="Performance Rating" totalsRowFunction="custom" dataDxfId="17" totalsRowDxfId="2">
      <totalsRowFormula>AVERAGE(H2:H101)</totalsRowFormula>
    </tableColumn>
    <tableColumn id="9" xr3:uid="{DE6C5771-CEA4-474E-90F8-D3C8C6E6CF4B}" name="Attrition" dataDxfId="16" totalsRowDxfId="1"/>
    <tableColumn id="10" xr3:uid="{B6E73B22-6DC4-458D-AE88-E7C3DB08DEA0}" name="City" totalsRowFunction="custom" dataDxfId="15" totalsRowDxfId="0">
      <totalsRowFormula array="1">_xlfn.LET(_xlpm.u,_xlfn.UNIQUE(J2:J101),_xlpm.c,COUNTIF(J2:J101,_xlpm.u),INDEX(_xlpm.u,MATCH(MAX(_xlpm.c),_xlpm.c,0)))</totalsRowFormula>
    </tableColumn>
  </tableColumns>
  <tableStyleInfo name="TableStyleMedium1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11415B-89C9-4E0E-81AB-499A92E51553}">
  <dimension ref="A1:J101"/>
  <sheetViews>
    <sheetView workbookViewId="0">
      <selection sqref="A1:J101"/>
    </sheetView>
  </sheetViews>
  <sheetFormatPr defaultRowHeight="14.4" x14ac:dyDescent="0.3"/>
  <sheetData>
    <row r="1" spans="1:10" ht="43.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28.8" x14ac:dyDescent="0.3">
      <c r="A2" s="2" t="s">
        <v>10</v>
      </c>
      <c r="B2" s="2" t="s">
        <v>11</v>
      </c>
      <c r="C2" s="2" t="s">
        <v>12</v>
      </c>
      <c r="D2" s="2" t="s">
        <v>13</v>
      </c>
      <c r="E2" s="2">
        <v>24</v>
      </c>
      <c r="F2" s="2">
        <v>35000</v>
      </c>
      <c r="G2" s="2">
        <v>2</v>
      </c>
      <c r="H2" s="2">
        <v>4</v>
      </c>
      <c r="I2" s="2" t="s">
        <v>14</v>
      </c>
      <c r="J2" s="2" t="s">
        <v>15</v>
      </c>
    </row>
    <row r="3" spans="1:10" x14ac:dyDescent="0.3">
      <c r="A3" s="2" t="s">
        <v>16</v>
      </c>
      <c r="B3" s="2" t="s">
        <v>17</v>
      </c>
      <c r="C3" s="2" t="s">
        <v>18</v>
      </c>
      <c r="D3" s="2" t="s">
        <v>19</v>
      </c>
      <c r="E3" s="2">
        <v>29</v>
      </c>
      <c r="F3" s="2">
        <v>42000</v>
      </c>
      <c r="G3" s="2">
        <v>5</v>
      </c>
      <c r="H3" s="2">
        <v>5</v>
      </c>
      <c r="I3" s="2" t="s">
        <v>14</v>
      </c>
      <c r="J3" s="2" t="s">
        <v>20</v>
      </c>
    </row>
    <row r="4" spans="1:10" ht="28.8" x14ac:dyDescent="0.3">
      <c r="A4" s="2" t="s">
        <v>21</v>
      </c>
      <c r="B4" s="2" t="s">
        <v>22</v>
      </c>
      <c r="C4" s="2" t="s">
        <v>12</v>
      </c>
      <c r="D4" s="2" t="s">
        <v>23</v>
      </c>
      <c r="E4" s="2">
        <v>27</v>
      </c>
      <c r="F4" s="2">
        <v>39000</v>
      </c>
      <c r="G4" s="2">
        <v>3</v>
      </c>
      <c r="H4" s="2">
        <v>3</v>
      </c>
      <c r="I4" s="2" t="s">
        <v>24</v>
      </c>
      <c r="J4" s="2" t="s">
        <v>25</v>
      </c>
    </row>
    <row r="5" spans="1:10" x14ac:dyDescent="0.3">
      <c r="A5" s="2" t="s">
        <v>26</v>
      </c>
      <c r="B5" s="2" t="s">
        <v>27</v>
      </c>
      <c r="C5" s="2" t="s">
        <v>18</v>
      </c>
      <c r="D5" s="2" t="s">
        <v>28</v>
      </c>
      <c r="E5" s="2">
        <v>31</v>
      </c>
      <c r="F5" s="2">
        <v>52000</v>
      </c>
      <c r="G5" s="2">
        <v>7</v>
      </c>
      <c r="H5" s="2">
        <v>4</v>
      </c>
      <c r="I5" s="2" t="s">
        <v>14</v>
      </c>
      <c r="J5" s="2" t="s">
        <v>29</v>
      </c>
    </row>
    <row r="6" spans="1:10" ht="28.8" x14ac:dyDescent="0.3">
      <c r="A6" s="2" t="s">
        <v>30</v>
      </c>
      <c r="B6" s="2" t="s">
        <v>31</v>
      </c>
      <c r="C6" s="2" t="s">
        <v>12</v>
      </c>
      <c r="D6" s="2" t="s">
        <v>13</v>
      </c>
      <c r="E6" s="2">
        <v>26</v>
      </c>
      <c r="F6" s="2">
        <v>41000</v>
      </c>
      <c r="G6" s="2">
        <v>4</v>
      </c>
      <c r="H6" s="2">
        <v>5</v>
      </c>
      <c r="I6" s="2" t="s">
        <v>14</v>
      </c>
      <c r="J6" s="2" t="s">
        <v>15</v>
      </c>
    </row>
    <row r="7" spans="1:10" ht="28.8" x14ac:dyDescent="0.3">
      <c r="A7" s="2" t="s">
        <v>32</v>
      </c>
      <c r="B7" s="2" t="s">
        <v>33</v>
      </c>
      <c r="C7" s="2" t="s">
        <v>18</v>
      </c>
      <c r="D7" s="2" t="s">
        <v>34</v>
      </c>
      <c r="E7" s="2">
        <v>28</v>
      </c>
      <c r="F7" s="2">
        <v>45000</v>
      </c>
      <c r="G7" s="2">
        <v>5</v>
      </c>
      <c r="H7" s="2">
        <v>4</v>
      </c>
      <c r="I7" s="2" t="s">
        <v>24</v>
      </c>
      <c r="J7" s="2" t="s">
        <v>35</v>
      </c>
    </row>
    <row r="8" spans="1:10" x14ac:dyDescent="0.3">
      <c r="A8" s="2" t="s">
        <v>36</v>
      </c>
      <c r="B8" s="2" t="s">
        <v>37</v>
      </c>
      <c r="C8" s="2" t="s">
        <v>12</v>
      </c>
      <c r="D8" s="2" t="s">
        <v>19</v>
      </c>
      <c r="E8" s="2">
        <v>35</v>
      </c>
      <c r="F8" s="2">
        <v>56000</v>
      </c>
      <c r="G8" s="2">
        <v>10</v>
      </c>
      <c r="H8" s="2">
        <v>5</v>
      </c>
      <c r="I8" s="2" t="s">
        <v>14</v>
      </c>
      <c r="J8" s="2" t="s">
        <v>38</v>
      </c>
    </row>
    <row r="9" spans="1:10" x14ac:dyDescent="0.3">
      <c r="A9" s="2" t="s">
        <v>39</v>
      </c>
      <c r="B9" s="2" t="s">
        <v>40</v>
      </c>
      <c r="C9" s="2" t="s">
        <v>18</v>
      </c>
      <c r="D9" s="2" t="s">
        <v>23</v>
      </c>
      <c r="E9" s="2">
        <v>25</v>
      </c>
      <c r="F9" s="2">
        <v>36000</v>
      </c>
      <c r="G9" s="2">
        <v>2</v>
      </c>
      <c r="H9" s="2">
        <v>3</v>
      </c>
      <c r="I9" s="2" t="s">
        <v>24</v>
      </c>
      <c r="J9" s="2" t="s">
        <v>20</v>
      </c>
    </row>
    <row r="10" spans="1:10" ht="28.8" x14ac:dyDescent="0.3">
      <c r="A10" s="2" t="s">
        <v>41</v>
      </c>
      <c r="B10" s="2" t="s">
        <v>42</v>
      </c>
      <c r="C10" s="2" t="s">
        <v>12</v>
      </c>
      <c r="D10" s="2" t="s">
        <v>13</v>
      </c>
      <c r="E10" s="2">
        <v>30</v>
      </c>
      <c r="F10" s="2">
        <v>60000</v>
      </c>
      <c r="G10" s="2">
        <v>8</v>
      </c>
      <c r="H10" s="2">
        <v>5</v>
      </c>
      <c r="I10" s="2" t="s">
        <v>14</v>
      </c>
      <c r="J10" s="2" t="s">
        <v>25</v>
      </c>
    </row>
    <row r="11" spans="1:10" ht="28.8" x14ac:dyDescent="0.3">
      <c r="A11" s="2" t="s">
        <v>43</v>
      </c>
      <c r="B11" s="2" t="s">
        <v>44</v>
      </c>
      <c r="C11" s="2" t="s">
        <v>18</v>
      </c>
      <c r="D11" s="2" t="s">
        <v>28</v>
      </c>
      <c r="E11" s="2">
        <v>32</v>
      </c>
      <c r="F11" s="2">
        <v>55000</v>
      </c>
      <c r="G11" s="2">
        <v>8</v>
      </c>
      <c r="H11" s="2">
        <v>4</v>
      </c>
      <c r="I11" s="2" t="s">
        <v>14</v>
      </c>
      <c r="J11" s="2" t="s">
        <v>15</v>
      </c>
    </row>
    <row r="12" spans="1:10" ht="28.8" x14ac:dyDescent="0.3">
      <c r="A12" s="2" t="s">
        <v>45</v>
      </c>
      <c r="B12" s="2" t="s">
        <v>46</v>
      </c>
      <c r="C12" s="2" t="s">
        <v>12</v>
      </c>
      <c r="D12" s="2" t="s">
        <v>34</v>
      </c>
      <c r="E12" s="2">
        <v>27</v>
      </c>
      <c r="F12" s="2">
        <v>40000</v>
      </c>
      <c r="G12" s="2">
        <v>3</v>
      </c>
      <c r="H12" s="2">
        <v>4</v>
      </c>
      <c r="I12" s="2" t="s">
        <v>14</v>
      </c>
      <c r="J12" s="2" t="s">
        <v>29</v>
      </c>
    </row>
    <row r="13" spans="1:10" x14ac:dyDescent="0.3">
      <c r="A13" s="2" t="s">
        <v>47</v>
      </c>
      <c r="B13" s="2" t="s">
        <v>48</v>
      </c>
      <c r="C13" s="2" t="s">
        <v>18</v>
      </c>
      <c r="D13" s="2" t="s">
        <v>19</v>
      </c>
      <c r="E13" s="2">
        <v>26</v>
      </c>
      <c r="F13" s="2">
        <v>38000</v>
      </c>
      <c r="G13" s="2">
        <v>2</v>
      </c>
      <c r="H13" s="2">
        <v>3</v>
      </c>
      <c r="I13" s="2" t="s">
        <v>24</v>
      </c>
      <c r="J13" s="2" t="s">
        <v>35</v>
      </c>
    </row>
    <row r="14" spans="1:10" x14ac:dyDescent="0.3">
      <c r="A14" s="2" t="s">
        <v>49</v>
      </c>
      <c r="B14" s="2" t="s">
        <v>50</v>
      </c>
      <c r="C14" s="2" t="s">
        <v>12</v>
      </c>
      <c r="D14" s="2" t="s">
        <v>23</v>
      </c>
      <c r="E14" s="2">
        <v>29</v>
      </c>
      <c r="F14" s="2">
        <v>47000</v>
      </c>
      <c r="G14" s="2">
        <v>5</v>
      </c>
      <c r="H14" s="2">
        <v>4</v>
      </c>
      <c r="I14" s="2" t="s">
        <v>14</v>
      </c>
      <c r="J14" s="2" t="s">
        <v>38</v>
      </c>
    </row>
    <row r="15" spans="1:10" ht="28.8" x14ac:dyDescent="0.3">
      <c r="A15" s="2" t="s">
        <v>51</v>
      </c>
      <c r="B15" s="2" t="s">
        <v>52</v>
      </c>
      <c r="C15" s="2" t="s">
        <v>18</v>
      </c>
      <c r="D15" s="2" t="s">
        <v>13</v>
      </c>
      <c r="E15" s="2">
        <v>23</v>
      </c>
      <c r="F15" s="2">
        <v>34000</v>
      </c>
      <c r="G15" s="2">
        <v>1</v>
      </c>
      <c r="H15" s="2">
        <v>4</v>
      </c>
      <c r="I15" s="2" t="s">
        <v>14</v>
      </c>
      <c r="J15" s="2" t="s">
        <v>25</v>
      </c>
    </row>
    <row r="16" spans="1:10" x14ac:dyDescent="0.3">
      <c r="A16" s="2" t="s">
        <v>53</v>
      </c>
      <c r="B16" s="2" t="s">
        <v>54</v>
      </c>
      <c r="C16" s="2" t="s">
        <v>12</v>
      </c>
      <c r="D16" s="2" t="s">
        <v>28</v>
      </c>
      <c r="E16" s="2">
        <v>34</v>
      </c>
      <c r="F16" s="2">
        <v>61000</v>
      </c>
      <c r="G16" s="2">
        <v>9</v>
      </c>
      <c r="H16" s="2">
        <v>5</v>
      </c>
      <c r="I16" s="2" t="s">
        <v>14</v>
      </c>
      <c r="J16" s="2" t="s">
        <v>20</v>
      </c>
    </row>
    <row r="17" spans="1:10" ht="28.8" x14ac:dyDescent="0.3">
      <c r="A17" s="2" t="s">
        <v>55</v>
      </c>
      <c r="B17" s="2" t="s">
        <v>56</v>
      </c>
      <c r="C17" s="2" t="s">
        <v>18</v>
      </c>
      <c r="D17" s="2" t="s">
        <v>34</v>
      </c>
      <c r="E17" s="2">
        <v>31</v>
      </c>
      <c r="F17" s="2">
        <v>50000</v>
      </c>
      <c r="G17" s="2">
        <v>7</v>
      </c>
      <c r="H17" s="2">
        <v>4</v>
      </c>
      <c r="I17" s="2" t="s">
        <v>24</v>
      </c>
      <c r="J17" s="2" t="s">
        <v>15</v>
      </c>
    </row>
    <row r="18" spans="1:10" x14ac:dyDescent="0.3">
      <c r="A18" s="2" t="s">
        <v>57</v>
      </c>
      <c r="B18" s="2" t="s">
        <v>58</v>
      </c>
      <c r="C18" s="2" t="s">
        <v>12</v>
      </c>
      <c r="D18" s="2" t="s">
        <v>19</v>
      </c>
      <c r="E18" s="2">
        <v>28</v>
      </c>
      <c r="F18" s="2">
        <v>43000</v>
      </c>
      <c r="G18" s="2">
        <v>4</v>
      </c>
      <c r="H18" s="2">
        <v>4</v>
      </c>
      <c r="I18" s="2" t="s">
        <v>14</v>
      </c>
      <c r="J18" s="2" t="s">
        <v>35</v>
      </c>
    </row>
    <row r="19" spans="1:10" x14ac:dyDescent="0.3">
      <c r="A19" s="2" t="s">
        <v>59</v>
      </c>
      <c r="B19" s="2" t="s">
        <v>60</v>
      </c>
      <c r="C19" s="2" t="s">
        <v>18</v>
      </c>
      <c r="D19" s="2" t="s">
        <v>23</v>
      </c>
      <c r="E19" s="2">
        <v>27</v>
      </c>
      <c r="F19" s="2">
        <v>41000</v>
      </c>
      <c r="G19" s="2">
        <v>3</v>
      </c>
      <c r="H19" s="2">
        <v>3</v>
      </c>
      <c r="I19" s="2" t="s">
        <v>14</v>
      </c>
      <c r="J19" s="2" t="s">
        <v>29</v>
      </c>
    </row>
    <row r="20" spans="1:10" x14ac:dyDescent="0.3">
      <c r="A20" s="2" t="s">
        <v>61</v>
      </c>
      <c r="B20" s="2" t="s">
        <v>62</v>
      </c>
      <c r="C20" s="2" t="s">
        <v>12</v>
      </c>
      <c r="D20" s="2" t="s">
        <v>13</v>
      </c>
      <c r="E20" s="2">
        <v>33</v>
      </c>
      <c r="F20" s="2">
        <v>64000</v>
      </c>
      <c r="G20" s="2">
        <v>10</v>
      </c>
      <c r="H20" s="2">
        <v>5</v>
      </c>
      <c r="I20" s="2" t="s">
        <v>14</v>
      </c>
      <c r="J20" s="2" t="s">
        <v>38</v>
      </c>
    </row>
    <row r="21" spans="1:10" ht="28.8" x14ac:dyDescent="0.3">
      <c r="A21" s="2" t="s">
        <v>63</v>
      </c>
      <c r="B21" s="2" t="s">
        <v>64</v>
      </c>
      <c r="C21" s="2" t="s">
        <v>18</v>
      </c>
      <c r="D21" s="2" t="s">
        <v>28</v>
      </c>
      <c r="E21" s="2">
        <v>30</v>
      </c>
      <c r="F21" s="2">
        <v>53000</v>
      </c>
      <c r="G21" s="2">
        <v>6</v>
      </c>
      <c r="H21" s="2">
        <v>4</v>
      </c>
      <c r="I21" s="2" t="s">
        <v>24</v>
      </c>
      <c r="J21" s="2" t="s">
        <v>25</v>
      </c>
    </row>
    <row r="22" spans="1:10" ht="28.8" x14ac:dyDescent="0.3">
      <c r="A22" s="2" t="s">
        <v>65</v>
      </c>
      <c r="B22" s="2" t="s">
        <v>66</v>
      </c>
      <c r="C22" s="2" t="s">
        <v>12</v>
      </c>
      <c r="D22" s="2" t="s">
        <v>34</v>
      </c>
      <c r="E22" s="2">
        <v>25</v>
      </c>
      <c r="F22" s="2">
        <v>36000</v>
      </c>
      <c r="G22" s="2">
        <v>2</v>
      </c>
      <c r="H22" s="2">
        <v>3</v>
      </c>
      <c r="I22" s="2" t="s">
        <v>14</v>
      </c>
      <c r="J22" s="2" t="s">
        <v>15</v>
      </c>
    </row>
    <row r="23" spans="1:10" x14ac:dyDescent="0.3">
      <c r="A23" s="2" t="s">
        <v>67</v>
      </c>
      <c r="B23" s="2" t="s">
        <v>68</v>
      </c>
      <c r="C23" s="2" t="s">
        <v>18</v>
      </c>
      <c r="D23" s="2" t="s">
        <v>19</v>
      </c>
      <c r="E23" s="2">
        <v>27</v>
      </c>
      <c r="F23" s="2">
        <v>42000</v>
      </c>
      <c r="G23" s="2">
        <v>4</v>
      </c>
      <c r="H23" s="2">
        <v>4</v>
      </c>
      <c r="I23" s="2" t="s">
        <v>14</v>
      </c>
      <c r="J23" s="2" t="s">
        <v>20</v>
      </c>
    </row>
    <row r="24" spans="1:10" x14ac:dyDescent="0.3">
      <c r="A24" s="2" t="s">
        <v>69</v>
      </c>
      <c r="B24" s="2" t="s">
        <v>70</v>
      </c>
      <c r="C24" s="2" t="s">
        <v>12</v>
      </c>
      <c r="D24" s="2" t="s">
        <v>13</v>
      </c>
      <c r="E24" s="2">
        <v>29</v>
      </c>
      <c r="F24" s="2">
        <v>49000</v>
      </c>
      <c r="G24" s="2">
        <v>6</v>
      </c>
      <c r="H24" s="2">
        <v>5</v>
      </c>
      <c r="I24" s="2" t="s">
        <v>14</v>
      </c>
      <c r="J24" s="2" t="s">
        <v>35</v>
      </c>
    </row>
    <row r="25" spans="1:10" x14ac:dyDescent="0.3">
      <c r="A25" s="2" t="s">
        <v>71</v>
      </c>
      <c r="B25" s="2" t="s">
        <v>72</v>
      </c>
      <c r="C25" s="2" t="s">
        <v>18</v>
      </c>
      <c r="D25" s="2" t="s">
        <v>23</v>
      </c>
      <c r="E25" s="2">
        <v>24</v>
      </c>
      <c r="F25" s="2">
        <v>35000</v>
      </c>
      <c r="G25" s="2">
        <v>2</v>
      </c>
      <c r="H25" s="2">
        <v>3</v>
      </c>
      <c r="I25" s="2" t="s">
        <v>24</v>
      </c>
      <c r="J25" s="2" t="s">
        <v>38</v>
      </c>
    </row>
    <row r="26" spans="1:10" x14ac:dyDescent="0.3">
      <c r="A26" s="2" t="s">
        <v>73</v>
      </c>
      <c r="B26" s="2" t="s">
        <v>74</v>
      </c>
      <c r="C26" s="2" t="s">
        <v>12</v>
      </c>
      <c r="D26" s="2" t="s">
        <v>28</v>
      </c>
      <c r="E26" s="2">
        <v>36</v>
      </c>
      <c r="F26" s="2">
        <v>68000</v>
      </c>
      <c r="G26" s="2">
        <v>12</v>
      </c>
      <c r="H26" s="2">
        <v>5</v>
      </c>
      <c r="I26" s="2" t="s">
        <v>14</v>
      </c>
      <c r="J26" s="2" t="s">
        <v>29</v>
      </c>
    </row>
    <row r="27" spans="1:10" ht="28.8" x14ac:dyDescent="0.3">
      <c r="A27" s="2" t="s">
        <v>75</v>
      </c>
      <c r="B27" s="2" t="s">
        <v>76</v>
      </c>
      <c r="C27" s="2" t="s">
        <v>18</v>
      </c>
      <c r="D27" s="2" t="s">
        <v>34</v>
      </c>
      <c r="E27" s="2">
        <v>29</v>
      </c>
      <c r="F27" s="2">
        <v>46000</v>
      </c>
      <c r="G27" s="2">
        <v>5</v>
      </c>
      <c r="H27" s="2">
        <v>4</v>
      </c>
      <c r="I27" s="2" t="s">
        <v>14</v>
      </c>
      <c r="J27" s="2" t="s">
        <v>25</v>
      </c>
    </row>
    <row r="28" spans="1:10" ht="28.8" x14ac:dyDescent="0.3">
      <c r="A28" s="2" t="s">
        <v>77</v>
      </c>
      <c r="B28" s="2" t="s">
        <v>78</v>
      </c>
      <c r="C28" s="2" t="s">
        <v>12</v>
      </c>
      <c r="D28" s="2" t="s">
        <v>19</v>
      </c>
      <c r="E28" s="2">
        <v>32</v>
      </c>
      <c r="F28" s="2">
        <v>54000</v>
      </c>
      <c r="G28" s="2">
        <v>8</v>
      </c>
      <c r="H28" s="2">
        <v>5</v>
      </c>
      <c r="I28" s="2" t="s">
        <v>14</v>
      </c>
      <c r="J28" s="2" t="s">
        <v>15</v>
      </c>
    </row>
    <row r="29" spans="1:10" x14ac:dyDescent="0.3">
      <c r="A29" s="2" t="s">
        <v>79</v>
      </c>
      <c r="B29" s="2" t="s">
        <v>80</v>
      </c>
      <c r="C29" s="2" t="s">
        <v>18</v>
      </c>
      <c r="D29" s="2" t="s">
        <v>13</v>
      </c>
      <c r="E29" s="2">
        <v>26</v>
      </c>
      <c r="F29" s="2">
        <v>41000</v>
      </c>
      <c r="G29" s="2">
        <v>3</v>
      </c>
      <c r="H29" s="2">
        <v>4</v>
      </c>
      <c r="I29" s="2" t="s">
        <v>24</v>
      </c>
      <c r="J29" s="2" t="s">
        <v>20</v>
      </c>
    </row>
    <row r="30" spans="1:10" x14ac:dyDescent="0.3">
      <c r="A30" s="2" t="s">
        <v>81</v>
      </c>
      <c r="B30" s="2" t="s">
        <v>82</v>
      </c>
      <c r="C30" s="2" t="s">
        <v>12</v>
      </c>
      <c r="D30" s="2" t="s">
        <v>23</v>
      </c>
      <c r="E30" s="2">
        <v>28</v>
      </c>
      <c r="F30" s="2">
        <v>43000</v>
      </c>
      <c r="G30" s="2">
        <v>4</v>
      </c>
      <c r="H30" s="2">
        <v>4</v>
      </c>
      <c r="I30" s="2" t="s">
        <v>14</v>
      </c>
      <c r="J30" s="2" t="s">
        <v>35</v>
      </c>
    </row>
    <row r="31" spans="1:10" x14ac:dyDescent="0.3">
      <c r="A31" s="2" t="s">
        <v>83</v>
      </c>
      <c r="B31" s="2" t="s">
        <v>84</v>
      </c>
      <c r="C31" s="2" t="s">
        <v>18</v>
      </c>
      <c r="D31" s="2" t="s">
        <v>28</v>
      </c>
      <c r="E31" s="2">
        <v>31</v>
      </c>
      <c r="F31" s="2">
        <v>56000</v>
      </c>
      <c r="G31" s="2">
        <v>7</v>
      </c>
      <c r="H31" s="2">
        <v>5</v>
      </c>
      <c r="I31" s="2" t="s">
        <v>14</v>
      </c>
      <c r="J31" s="2" t="s">
        <v>38</v>
      </c>
    </row>
    <row r="32" spans="1:10" ht="28.8" x14ac:dyDescent="0.3">
      <c r="A32" s="2" t="s">
        <v>85</v>
      </c>
      <c r="B32" s="2" t="s">
        <v>86</v>
      </c>
      <c r="C32" s="2" t="s">
        <v>12</v>
      </c>
      <c r="D32" s="2" t="s">
        <v>34</v>
      </c>
      <c r="E32" s="2">
        <v>30</v>
      </c>
      <c r="F32" s="2">
        <v>49000</v>
      </c>
      <c r="G32" s="2">
        <v>6</v>
      </c>
      <c r="H32" s="2">
        <v>4</v>
      </c>
      <c r="I32" s="2" t="s">
        <v>14</v>
      </c>
      <c r="J32" s="2" t="s">
        <v>29</v>
      </c>
    </row>
    <row r="33" spans="1:10" ht="28.8" x14ac:dyDescent="0.3">
      <c r="A33" s="2" t="s">
        <v>87</v>
      </c>
      <c r="B33" s="2" t="s">
        <v>88</v>
      </c>
      <c r="C33" s="2" t="s">
        <v>18</v>
      </c>
      <c r="D33" s="2" t="s">
        <v>19</v>
      </c>
      <c r="E33" s="2">
        <v>25</v>
      </c>
      <c r="F33" s="2">
        <v>37000</v>
      </c>
      <c r="G33" s="2">
        <v>2</v>
      </c>
      <c r="H33" s="2">
        <v>3</v>
      </c>
      <c r="I33" s="2" t="s">
        <v>24</v>
      </c>
      <c r="J33" s="2" t="s">
        <v>15</v>
      </c>
    </row>
    <row r="34" spans="1:10" ht="28.8" x14ac:dyDescent="0.3">
      <c r="A34" s="2" t="s">
        <v>89</v>
      </c>
      <c r="B34" s="2" t="s">
        <v>90</v>
      </c>
      <c r="C34" s="2" t="s">
        <v>12</v>
      </c>
      <c r="D34" s="2" t="s">
        <v>13</v>
      </c>
      <c r="E34" s="2">
        <v>34</v>
      </c>
      <c r="F34" s="2">
        <v>65000</v>
      </c>
      <c r="G34" s="2">
        <v>11</v>
      </c>
      <c r="H34" s="2">
        <v>5</v>
      </c>
      <c r="I34" s="2" t="s">
        <v>14</v>
      </c>
      <c r="J34" s="2" t="s">
        <v>25</v>
      </c>
    </row>
    <row r="35" spans="1:10" x14ac:dyDescent="0.3">
      <c r="A35" s="2" t="s">
        <v>91</v>
      </c>
      <c r="B35" s="2" t="s">
        <v>92</v>
      </c>
      <c r="C35" s="2" t="s">
        <v>18</v>
      </c>
      <c r="D35" s="2" t="s">
        <v>23</v>
      </c>
      <c r="E35" s="2">
        <v>27</v>
      </c>
      <c r="F35" s="2">
        <v>42000</v>
      </c>
      <c r="G35" s="2">
        <v>4</v>
      </c>
      <c r="H35" s="2">
        <v>4</v>
      </c>
      <c r="I35" s="2" t="s">
        <v>14</v>
      </c>
      <c r="J35" s="2" t="s">
        <v>20</v>
      </c>
    </row>
    <row r="36" spans="1:10" x14ac:dyDescent="0.3">
      <c r="A36" s="2" t="s">
        <v>93</v>
      </c>
      <c r="B36" s="2" t="s">
        <v>94</v>
      </c>
      <c r="C36" s="2" t="s">
        <v>12</v>
      </c>
      <c r="D36" s="2" t="s">
        <v>28</v>
      </c>
      <c r="E36" s="2">
        <v>33</v>
      </c>
      <c r="F36" s="2">
        <v>59000</v>
      </c>
      <c r="G36" s="2">
        <v>9</v>
      </c>
      <c r="H36" s="2">
        <v>5</v>
      </c>
      <c r="I36" s="2" t="s">
        <v>14</v>
      </c>
      <c r="J36" s="2" t="s">
        <v>35</v>
      </c>
    </row>
    <row r="37" spans="1:10" ht="28.8" x14ac:dyDescent="0.3">
      <c r="A37" s="2" t="s">
        <v>95</v>
      </c>
      <c r="B37" s="2" t="s">
        <v>96</v>
      </c>
      <c r="C37" s="2" t="s">
        <v>18</v>
      </c>
      <c r="D37" s="2" t="s">
        <v>34</v>
      </c>
      <c r="E37" s="2">
        <v>28</v>
      </c>
      <c r="F37" s="2">
        <v>45000</v>
      </c>
      <c r="G37" s="2">
        <v>5</v>
      </c>
      <c r="H37" s="2">
        <v>4</v>
      </c>
      <c r="I37" s="2" t="s">
        <v>24</v>
      </c>
      <c r="J37" s="2" t="s">
        <v>29</v>
      </c>
    </row>
    <row r="38" spans="1:10" x14ac:dyDescent="0.3">
      <c r="A38" s="2" t="s">
        <v>97</v>
      </c>
      <c r="B38" s="2" t="s">
        <v>98</v>
      </c>
      <c r="C38" s="2" t="s">
        <v>12</v>
      </c>
      <c r="D38" s="2" t="s">
        <v>19</v>
      </c>
      <c r="E38" s="2">
        <v>29</v>
      </c>
      <c r="F38" s="2">
        <v>47000</v>
      </c>
      <c r="G38" s="2">
        <v>5</v>
      </c>
      <c r="H38" s="2">
        <v>4</v>
      </c>
      <c r="I38" s="2" t="s">
        <v>14</v>
      </c>
      <c r="J38" s="2" t="s">
        <v>38</v>
      </c>
    </row>
    <row r="39" spans="1:10" ht="28.8" x14ac:dyDescent="0.3">
      <c r="A39" s="2" t="s">
        <v>99</v>
      </c>
      <c r="B39" s="2" t="s">
        <v>100</v>
      </c>
      <c r="C39" s="2" t="s">
        <v>18</v>
      </c>
      <c r="D39" s="2" t="s">
        <v>13</v>
      </c>
      <c r="E39" s="2">
        <v>24</v>
      </c>
      <c r="F39" s="2">
        <v>35000</v>
      </c>
      <c r="G39" s="2">
        <v>2</v>
      </c>
      <c r="H39" s="2">
        <v>3</v>
      </c>
      <c r="I39" s="2" t="s">
        <v>14</v>
      </c>
      <c r="J39" s="2" t="s">
        <v>15</v>
      </c>
    </row>
    <row r="40" spans="1:10" ht="28.8" x14ac:dyDescent="0.3">
      <c r="A40" s="2" t="s">
        <v>101</v>
      </c>
      <c r="B40" s="2" t="s">
        <v>102</v>
      </c>
      <c r="C40" s="2" t="s">
        <v>12</v>
      </c>
      <c r="D40" s="2" t="s">
        <v>23</v>
      </c>
      <c r="E40" s="2">
        <v>31</v>
      </c>
      <c r="F40" s="2">
        <v>52000</v>
      </c>
      <c r="G40" s="2">
        <v>7</v>
      </c>
      <c r="H40" s="2">
        <v>5</v>
      </c>
      <c r="I40" s="2" t="s">
        <v>14</v>
      </c>
      <c r="J40" s="2" t="s">
        <v>25</v>
      </c>
    </row>
    <row r="41" spans="1:10" x14ac:dyDescent="0.3">
      <c r="A41" s="2" t="s">
        <v>103</v>
      </c>
      <c r="B41" s="2" t="s">
        <v>104</v>
      </c>
      <c r="C41" s="2" t="s">
        <v>18</v>
      </c>
      <c r="D41" s="2" t="s">
        <v>28</v>
      </c>
      <c r="E41" s="2">
        <v>30</v>
      </c>
      <c r="F41" s="2">
        <v>54000</v>
      </c>
      <c r="G41" s="2">
        <v>7</v>
      </c>
      <c r="H41" s="2">
        <v>4</v>
      </c>
      <c r="I41" s="2" t="s">
        <v>24</v>
      </c>
      <c r="J41" s="2" t="s">
        <v>20</v>
      </c>
    </row>
    <row r="42" spans="1:10" ht="28.8" x14ac:dyDescent="0.3">
      <c r="A42" s="2" t="s">
        <v>105</v>
      </c>
      <c r="B42" s="2" t="s">
        <v>106</v>
      </c>
      <c r="C42" s="2" t="s">
        <v>12</v>
      </c>
      <c r="D42" s="2" t="s">
        <v>34</v>
      </c>
      <c r="E42" s="2">
        <v>27</v>
      </c>
      <c r="F42" s="2">
        <v>41000</v>
      </c>
      <c r="G42" s="2">
        <v>3</v>
      </c>
      <c r="H42" s="2">
        <v>4</v>
      </c>
      <c r="I42" s="2" t="s">
        <v>14</v>
      </c>
      <c r="J42" s="2" t="s">
        <v>35</v>
      </c>
    </row>
    <row r="43" spans="1:10" x14ac:dyDescent="0.3">
      <c r="A43" s="2" t="s">
        <v>107</v>
      </c>
      <c r="B43" s="2" t="s">
        <v>108</v>
      </c>
      <c r="C43" s="2" t="s">
        <v>18</v>
      </c>
      <c r="D43" s="2" t="s">
        <v>19</v>
      </c>
      <c r="E43" s="2">
        <v>26</v>
      </c>
      <c r="F43" s="2">
        <v>39000</v>
      </c>
      <c r="G43" s="2">
        <v>3</v>
      </c>
      <c r="H43" s="2">
        <v>4</v>
      </c>
      <c r="I43" s="2" t="s">
        <v>14</v>
      </c>
      <c r="J43" s="2" t="s">
        <v>29</v>
      </c>
    </row>
    <row r="44" spans="1:10" x14ac:dyDescent="0.3">
      <c r="A44" s="2" t="s">
        <v>109</v>
      </c>
      <c r="B44" s="2" t="s">
        <v>110</v>
      </c>
      <c r="C44" s="2" t="s">
        <v>12</v>
      </c>
      <c r="D44" s="2" t="s">
        <v>13</v>
      </c>
      <c r="E44" s="2">
        <v>35</v>
      </c>
      <c r="F44" s="2">
        <v>70000</v>
      </c>
      <c r="G44" s="2">
        <v>13</v>
      </c>
      <c r="H44" s="2">
        <v>5</v>
      </c>
      <c r="I44" s="2" t="s">
        <v>14</v>
      </c>
      <c r="J44" s="2" t="s">
        <v>38</v>
      </c>
    </row>
    <row r="45" spans="1:10" ht="28.8" x14ac:dyDescent="0.3">
      <c r="A45" s="2" t="s">
        <v>111</v>
      </c>
      <c r="B45" s="2" t="s">
        <v>112</v>
      </c>
      <c r="C45" s="2" t="s">
        <v>18</v>
      </c>
      <c r="D45" s="2" t="s">
        <v>23</v>
      </c>
      <c r="E45" s="2">
        <v>28</v>
      </c>
      <c r="F45" s="2">
        <v>44000</v>
      </c>
      <c r="G45" s="2">
        <v>5</v>
      </c>
      <c r="H45" s="2">
        <v>4</v>
      </c>
      <c r="I45" s="2" t="s">
        <v>24</v>
      </c>
      <c r="J45" s="2" t="s">
        <v>15</v>
      </c>
    </row>
    <row r="46" spans="1:10" ht="28.8" x14ac:dyDescent="0.3">
      <c r="A46" s="2" t="s">
        <v>113</v>
      </c>
      <c r="B46" s="2" t="s">
        <v>114</v>
      </c>
      <c r="C46" s="2" t="s">
        <v>12</v>
      </c>
      <c r="D46" s="2" t="s">
        <v>28</v>
      </c>
      <c r="E46" s="2">
        <v>32</v>
      </c>
      <c r="F46" s="2">
        <v>57000</v>
      </c>
      <c r="G46" s="2">
        <v>8</v>
      </c>
      <c r="H46" s="2">
        <v>5</v>
      </c>
      <c r="I46" s="2" t="s">
        <v>14</v>
      </c>
      <c r="J46" s="2" t="s">
        <v>25</v>
      </c>
    </row>
    <row r="47" spans="1:10" ht="28.8" x14ac:dyDescent="0.3">
      <c r="A47" s="2" t="s">
        <v>115</v>
      </c>
      <c r="B47" s="2" t="s">
        <v>116</v>
      </c>
      <c r="C47" s="2" t="s">
        <v>18</v>
      </c>
      <c r="D47" s="2" t="s">
        <v>34</v>
      </c>
      <c r="E47" s="2">
        <v>25</v>
      </c>
      <c r="F47" s="2">
        <v>38000</v>
      </c>
      <c r="G47" s="2">
        <v>2</v>
      </c>
      <c r="H47" s="2">
        <v>3</v>
      </c>
      <c r="I47" s="2" t="s">
        <v>14</v>
      </c>
      <c r="J47" s="2" t="s">
        <v>20</v>
      </c>
    </row>
    <row r="48" spans="1:10" x14ac:dyDescent="0.3">
      <c r="A48" s="2" t="s">
        <v>117</v>
      </c>
      <c r="B48" s="2" t="s">
        <v>118</v>
      </c>
      <c r="C48" s="2" t="s">
        <v>12</v>
      </c>
      <c r="D48" s="2" t="s">
        <v>19</v>
      </c>
      <c r="E48" s="2">
        <v>30</v>
      </c>
      <c r="F48" s="2">
        <v>51000</v>
      </c>
      <c r="G48" s="2">
        <v>6</v>
      </c>
      <c r="H48" s="2">
        <v>5</v>
      </c>
      <c r="I48" s="2" t="s">
        <v>14</v>
      </c>
      <c r="J48" s="2" t="s">
        <v>35</v>
      </c>
    </row>
    <row r="49" spans="1:10" x14ac:dyDescent="0.3">
      <c r="A49" s="2" t="s">
        <v>119</v>
      </c>
      <c r="B49" s="2" t="s">
        <v>120</v>
      </c>
      <c r="C49" s="2" t="s">
        <v>18</v>
      </c>
      <c r="D49" s="2" t="s">
        <v>13</v>
      </c>
      <c r="E49" s="2">
        <v>29</v>
      </c>
      <c r="F49" s="2">
        <v>47000</v>
      </c>
      <c r="G49" s="2">
        <v>5</v>
      </c>
      <c r="H49" s="2">
        <v>4</v>
      </c>
      <c r="I49" s="2" t="s">
        <v>24</v>
      </c>
      <c r="J49" s="2" t="s">
        <v>29</v>
      </c>
    </row>
    <row r="50" spans="1:10" x14ac:dyDescent="0.3">
      <c r="A50" s="2" t="s">
        <v>121</v>
      </c>
      <c r="B50" s="2" t="s">
        <v>122</v>
      </c>
      <c r="C50" s="2" t="s">
        <v>12</v>
      </c>
      <c r="D50" s="2" t="s">
        <v>23</v>
      </c>
      <c r="E50" s="2">
        <v>33</v>
      </c>
      <c r="F50" s="2">
        <v>56000</v>
      </c>
      <c r="G50" s="2">
        <v>8</v>
      </c>
      <c r="H50" s="2">
        <v>5</v>
      </c>
      <c r="I50" s="2" t="s">
        <v>14</v>
      </c>
      <c r="J50" s="2" t="s">
        <v>38</v>
      </c>
    </row>
    <row r="51" spans="1:10" ht="28.8" x14ac:dyDescent="0.3">
      <c r="A51" s="2" t="s">
        <v>123</v>
      </c>
      <c r="B51" s="2" t="s">
        <v>124</v>
      </c>
      <c r="C51" s="2" t="s">
        <v>18</v>
      </c>
      <c r="D51" s="2" t="s">
        <v>28</v>
      </c>
      <c r="E51" s="2">
        <v>27</v>
      </c>
      <c r="F51" s="2">
        <v>45000</v>
      </c>
      <c r="G51" s="2">
        <v>4</v>
      </c>
      <c r="H51" s="2">
        <v>4</v>
      </c>
      <c r="I51" s="2" t="s">
        <v>14</v>
      </c>
      <c r="J51" s="2" t="s">
        <v>15</v>
      </c>
    </row>
    <row r="52" spans="1:10" x14ac:dyDescent="0.3">
      <c r="A52" s="2" t="s">
        <v>125</v>
      </c>
      <c r="B52" s="2" t="s">
        <v>126</v>
      </c>
      <c r="C52" s="2" t="s">
        <v>12</v>
      </c>
      <c r="D52" s="2" t="s">
        <v>13</v>
      </c>
      <c r="E52" s="2">
        <v>26</v>
      </c>
      <c r="F52" s="2">
        <v>40000</v>
      </c>
      <c r="G52" s="2">
        <v>3</v>
      </c>
      <c r="H52" s="2">
        <v>4</v>
      </c>
      <c r="I52" s="2" t="s">
        <v>14</v>
      </c>
      <c r="J52" s="2" t="s">
        <v>20</v>
      </c>
    </row>
    <row r="53" spans="1:10" ht="28.8" x14ac:dyDescent="0.3">
      <c r="A53" s="2" t="s">
        <v>127</v>
      </c>
      <c r="B53" s="2" t="s">
        <v>128</v>
      </c>
      <c r="C53" s="2" t="s">
        <v>18</v>
      </c>
      <c r="D53" s="2" t="s">
        <v>19</v>
      </c>
      <c r="E53" s="2">
        <v>28</v>
      </c>
      <c r="F53" s="2">
        <v>43000</v>
      </c>
      <c r="G53" s="2">
        <v>4</v>
      </c>
      <c r="H53" s="2">
        <v>4</v>
      </c>
      <c r="I53" s="2" t="s">
        <v>14</v>
      </c>
      <c r="J53" s="2" t="s">
        <v>25</v>
      </c>
    </row>
    <row r="54" spans="1:10" ht="28.8" x14ac:dyDescent="0.3">
      <c r="A54" s="2" t="s">
        <v>129</v>
      </c>
      <c r="B54" s="2" t="s">
        <v>130</v>
      </c>
      <c r="C54" s="2" t="s">
        <v>12</v>
      </c>
      <c r="D54" s="2" t="s">
        <v>34</v>
      </c>
      <c r="E54" s="2">
        <v>31</v>
      </c>
      <c r="F54" s="2">
        <v>51000</v>
      </c>
      <c r="G54" s="2">
        <v>7</v>
      </c>
      <c r="H54" s="2">
        <v>5</v>
      </c>
      <c r="I54" s="2" t="s">
        <v>24</v>
      </c>
      <c r="J54" s="2" t="s">
        <v>35</v>
      </c>
    </row>
    <row r="55" spans="1:10" x14ac:dyDescent="0.3">
      <c r="A55" s="2" t="s">
        <v>131</v>
      </c>
      <c r="B55" s="2" t="s">
        <v>132</v>
      </c>
      <c r="C55" s="2" t="s">
        <v>18</v>
      </c>
      <c r="D55" s="2" t="s">
        <v>23</v>
      </c>
      <c r="E55" s="2">
        <v>24</v>
      </c>
      <c r="F55" s="2">
        <v>36000</v>
      </c>
      <c r="G55" s="2">
        <v>2</v>
      </c>
      <c r="H55" s="2">
        <v>3</v>
      </c>
      <c r="I55" s="2" t="s">
        <v>14</v>
      </c>
      <c r="J55" s="2" t="s">
        <v>29</v>
      </c>
    </row>
    <row r="56" spans="1:10" x14ac:dyDescent="0.3">
      <c r="A56" s="2" t="s">
        <v>133</v>
      </c>
      <c r="B56" s="2" t="s">
        <v>134</v>
      </c>
      <c r="C56" s="2" t="s">
        <v>12</v>
      </c>
      <c r="D56" s="2" t="s">
        <v>28</v>
      </c>
      <c r="E56" s="2">
        <v>35</v>
      </c>
      <c r="F56" s="2">
        <v>65000</v>
      </c>
      <c r="G56" s="2">
        <v>11</v>
      </c>
      <c r="H56" s="2">
        <v>5</v>
      </c>
      <c r="I56" s="2" t="s">
        <v>14</v>
      </c>
      <c r="J56" s="2" t="s">
        <v>38</v>
      </c>
    </row>
    <row r="57" spans="1:10" ht="28.8" x14ac:dyDescent="0.3">
      <c r="A57" s="2" t="s">
        <v>135</v>
      </c>
      <c r="B57" s="2" t="s">
        <v>136</v>
      </c>
      <c r="C57" s="2" t="s">
        <v>18</v>
      </c>
      <c r="D57" s="2" t="s">
        <v>13</v>
      </c>
      <c r="E57" s="2">
        <v>27</v>
      </c>
      <c r="F57" s="2">
        <v>44000</v>
      </c>
      <c r="G57" s="2">
        <v>4</v>
      </c>
      <c r="H57" s="2">
        <v>4</v>
      </c>
      <c r="I57" s="2" t="s">
        <v>24</v>
      </c>
      <c r="J57" s="2" t="s">
        <v>15</v>
      </c>
    </row>
    <row r="58" spans="1:10" x14ac:dyDescent="0.3">
      <c r="A58" s="2" t="s">
        <v>137</v>
      </c>
      <c r="B58" s="2" t="s">
        <v>138</v>
      </c>
      <c r="C58" s="2" t="s">
        <v>12</v>
      </c>
      <c r="D58" s="2" t="s">
        <v>19</v>
      </c>
      <c r="E58" s="2">
        <v>29</v>
      </c>
      <c r="F58" s="2">
        <v>46000</v>
      </c>
      <c r="G58" s="2">
        <v>5</v>
      </c>
      <c r="H58" s="2">
        <v>5</v>
      </c>
      <c r="I58" s="2" t="s">
        <v>14</v>
      </c>
      <c r="J58" s="2" t="s">
        <v>20</v>
      </c>
    </row>
    <row r="59" spans="1:10" ht="28.8" x14ac:dyDescent="0.3">
      <c r="A59" s="2" t="s">
        <v>139</v>
      </c>
      <c r="B59" s="2" t="s">
        <v>140</v>
      </c>
      <c r="C59" s="2" t="s">
        <v>18</v>
      </c>
      <c r="D59" s="2" t="s">
        <v>34</v>
      </c>
      <c r="E59" s="2">
        <v>30</v>
      </c>
      <c r="F59" s="2">
        <v>50000</v>
      </c>
      <c r="G59" s="2">
        <v>6</v>
      </c>
      <c r="H59" s="2">
        <v>4</v>
      </c>
      <c r="I59" s="2" t="s">
        <v>14</v>
      </c>
      <c r="J59" s="2" t="s">
        <v>25</v>
      </c>
    </row>
    <row r="60" spans="1:10" x14ac:dyDescent="0.3">
      <c r="A60" s="2" t="s">
        <v>141</v>
      </c>
      <c r="B60" s="2" t="s">
        <v>142</v>
      </c>
      <c r="C60" s="2" t="s">
        <v>12</v>
      </c>
      <c r="D60" s="2" t="s">
        <v>23</v>
      </c>
      <c r="E60" s="2">
        <v>28</v>
      </c>
      <c r="F60" s="2">
        <v>42000</v>
      </c>
      <c r="G60" s="2">
        <v>4</v>
      </c>
      <c r="H60" s="2">
        <v>4</v>
      </c>
      <c r="I60" s="2" t="s">
        <v>14</v>
      </c>
      <c r="J60" s="2" t="s">
        <v>35</v>
      </c>
    </row>
    <row r="61" spans="1:10" x14ac:dyDescent="0.3">
      <c r="A61" s="2" t="s">
        <v>143</v>
      </c>
      <c r="B61" s="2" t="s">
        <v>144</v>
      </c>
      <c r="C61" s="2" t="s">
        <v>18</v>
      </c>
      <c r="D61" s="2" t="s">
        <v>28</v>
      </c>
      <c r="E61" s="2">
        <v>32</v>
      </c>
      <c r="F61" s="2">
        <v>58000</v>
      </c>
      <c r="G61" s="2">
        <v>8</v>
      </c>
      <c r="H61" s="2">
        <v>5</v>
      </c>
      <c r="I61" s="2" t="s">
        <v>24</v>
      </c>
      <c r="J61" s="2" t="s">
        <v>29</v>
      </c>
    </row>
    <row r="62" spans="1:10" x14ac:dyDescent="0.3">
      <c r="A62" s="2" t="s">
        <v>145</v>
      </c>
      <c r="B62" s="2" t="s">
        <v>146</v>
      </c>
      <c r="C62" s="2" t="s">
        <v>12</v>
      </c>
      <c r="D62" s="2" t="s">
        <v>13</v>
      </c>
      <c r="E62" s="2">
        <v>25</v>
      </c>
      <c r="F62" s="2">
        <v>37000</v>
      </c>
      <c r="G62" s="2">
        <v>2</v>
      </c>
      <c r="H62" s="2">
        <v>3</v>
      </c>
      <c r="I62" s="2" t="s">
        <v>14</v>
      </c>
      <c r="J62" s="2" t="s">
        <v>38</v>
      </c>
    </row>
    <row r="63" spans="1:10" ht="28.8" x14ac:dyDescent="0.3">
      <c r="A63" s="2" t="s">
        <v>147</v>
      </c>
      <c r="B63" s="2" t="s">
        <v>148</v>
      </c>
      <c r="C63" s="2" t="s">
        <v>18</v>
      </c>
      <c r="D63" s="2" t="s">
        <v>19</v>
      </c>
      <c r="E63" s="2">
        <v>27</v>
      </c>
      <c r="F63" s="2">
        <v>42000</v>
      </c>
      <c r="G63" s="2">
        <v>4</v>
      </c>
      <c r="H63" s="2">
        <v>4</v>
      </c>
      <c r="I63" s="2" t="s">
        <v>14</v>
      </c>
      <c r="J63" s="2" t="s">
        <v>15</v>
      </c>
    </row>
    <row r="64" spans="1:10" ht="28.8" x14ac:dyDescent="0.3">
      <c r="A64" s="2" t="s">
        <v>149</v>
      </c>
      <c r="B64" s="2" t="s">
        <v>150</v>
      </c>
      <c r="C64" s="2" t="s">
        <v>12</v>
      </c>
      <c r="D64" s="2" t="s">
        <v>34</v>
      </c>
      <c r="E64" s="2">
        <v>34</v>
      </c>
      <c r="F64" s="2">
        <v>62000</v>
      </c>
      <c r="G64" s="2">
        <v>10</v>
      </c>
      <c r="H64" s="2">
        <v>5</v>
      </c>
      <c r="I64" s="2" t="s">
        <v>14</v>
      </c>
      <c r="J64" s="2" t="s">
        <v>20</v>
      </c>
    </row>
    <row r="65" spans="1:10" ht="28.8" x14ac:dyDescent="0.3">
      <c r="A65" s="2" t="s">
        <v>151</v>
      </c>
      <c r="B65" s="2" t="s">
        <v>152</v>
      </c>
      <c r="C65" s="2" t="s">
        <v>18</v>
      </c>
      <c r="D65" s="2" t="s">
        <v>23</v>
      </c>
      <c r="E65" s="2">
        <v>26</v>
      </c>
      <c r="F65" s="2">
        <v>39000</v>
      </c>
      <c r="G65" s="2">
        <v>3</v>
      </c>
      <c r="H65" s="2">
        <v>3</v>
      </c>
      <c r="I65" s="2" t="s">
        <v>24</v>
      </c>
      <c r="J65" s="2" t="s">
        <v>25</v>
      </c>
    </row>
    <row r="66" spans="1:10" x14ac:dyDescent="0.3">
      <c r="A66" s="2" t="s">
        <v>153</v>
      </c>
      <c r="B66" s="2" t="s">
        <v>154</v>
      </c>
      <c r="C66" s="2" t="s">
        <v>12</v>
      </c>
      <c r="D66" s="2" t="s">
        <v>28</v>
      </c>
      <c r="E66" s="2">
        <v>31</v>
      </c>
      <c r="F66" s="2">
        <v>55000</v>
      </c>
      <c r="G66" s="2">
        <v>7</v>
      </c>
      <c r="H66" s="2">
        <v>4</v>
      </c>
      <c r="I66" s="2" t="s">
        <v>14</v>
      </c>
      <c r="J66" s="2" t="s">
        <v>35</v>
      </c>
    </row>
    <row r="67" spans="1:10" x14ac:dyDescent="0.3">
      <c r="A67" s="2" t="s">
        <v>155</v>
      </c>
      <c r="B67" s="2" t="s">
        <v>156</v>
      </c>
      <c r="C67" s="2" t="s">
        <v>18</v>
      </c>
      <c r="D67" s="2" t="s">
        <v>13</v>
      </c>
      <c r="E67" s="2">
        <v>29</v>
      </c>
      <c r="F67" s="2">
        <v>48000</v>
      </c>
      <c r="G67" s="2">
        <v>5</v>
      </c>
      <c r="H67" s="2">
        <v>4</v>
      </c>
      <c r="I67" s="2" t="s">
        <v>14</v>
      </c>
      <c r="J67" s="2" t="s">
        <v>29</v>
      </c>
    </row>
    <row r="68" spans="1:10" x14ac:dyDescent="0.3">
      <c r="A68" s="2" t="s">
        <v>157</v>
      </c>
      <c r="B68" s="2" t="s">
        <v>158</v>
      </c>
      <c r="C68" s="2" t="s">
        <v>12</v>
      </c>
      <c r="D68" s="2" t="s">
        <v>19</v>
      </c>
      <c r="E68" s="2">
        <v>33</v>
      </c>
      <c r="F68" s="2">
        <v>56000</v>
      </c>
      <c r="G68" s="2">
        <v>8</v>
      </c>
      <c r="H68" s="2">
        <v>5</v>
      </c>
      <c r="I68" s="2" t="s">
        <v>14</v>
      </c>
      <c r="J68" s="2" t="s">
        <v>38</v>
      </c>
    </row>
    <row r="69" spans="1:10" ht="28.8" x14ac:dyDescent="0.3">
      <c r="A69" s="2" t="s">
        <v>159</v>
      </c>
      <c r="B69" s="2" t="s">
        <v>160</v>
      </c>
      <c r="C69" s="2" t="s">
        <v>18</v>
      </c>
      <c r="D69" s="2" t="s">
        <v>34</v>
      </c>
      <c r="E69" s="2">
        <v>28</v>
      </c>
      <c r="F69" s="2">
        <v>45000</v>
      </c>
      <c r="G69" s="2">
        <v>5</v>
      </c>
      <c r="H69" s="2">
        <v>4</v>
      </c>
      <c r="I69" s="2" t="s">
        <v>24</v>
      </c>
      <c r="J69" s="2" t="s">
        <v>15</v>
      </c>
    </row>
    <row r="70" spans="1:10" x14ac:dyDescent="0.3">
      <c r="A70" s="2" t="s">
        <v>161</v>
      </c>
      <c r="B70" s="2" t="s">
        <v>162</v>
      </c>
      <c r="C70" s="2" t="s">
        <v>12</v>
      </c>
      <c r="D70" s="2" t="s">
        <v>23</v>
      </c>
      <c r="E70" s="2">
        <v>30</v>
      </c>
      <c r="F70" s="2">
        <v>50000</v>
      </c>
      <c r="G70" s="2">
        <v>6</v>
      </c>
      <c r="H70" s="2">
        <v>5</v>
      </c>
      <c r="I70" s="2" t="s">
        <v>14</v>
      </c>
      <c r="J70" s="2" t="s">
        <v>20</v>
      </c>
    </row>
    <row r="71" spans="1:10" ht="28.8" x14ac:dyDescent="0.3">
      <c r="A71" s="2" t="s">
        <v>163</v>
      </c>
      <c r="B71" s="2" t="s">
        <v>164</v>
      </c>
      <c r="C71" s="2" t="s">
        <v>18</v>
      </c>
      <c r="D71" s="2" t="s">
        <v>28</v>
      </c>
      <c r="E71" s="2">
        <v>27</v>
      </c>
      <c r="F71" s="2">
        <v>46000</v>
      </c>
      <c r="G71" s="2">
        <v>4</v>
      </c>
      <c r="H71" s="2">
        <v>4</v>
      </c>
      <c r="I71" s="2" t="s">
        <v>14</v>
      </c>
      <c r="J71" s="2" t="s">
        <v>25</v>
      </c>
    </row>
    <row r="72" spans="1:10" x14ac:dyDescent="0.3">
      <c r="A72" s="2" t="s">
        <v>165</v>
      </c>
      <c r="B72" s="2" t="s">
        <v>166</v>
      </c>
      <c r="C72" s="2" t="s">
        <v>12</v>
      </c>
      <c r="D72" s="2" t="s">
        <v>13</v>
      </c>
      <c r="E72" s="2">
        <v>32</v>
      </c>
      <c r="F72" s="2">
        <v>59000</v>
      </c>
      <c r="G72" s="2">
        <v>8</v>
      </c>
      <c r="H72" s="2">
        <v>5</v>
      </c>
      <c r="I72" s="2" t="s">
        <v>14</v>
      </c>
      <c r="J72" s="2" t="s">
        <v>35</v>
      </c>
    </row>
    <row r="73" spans="1:10" x14ac:dyDescent="0.3">
      <c r="A73" s="2" t="s">
        <v>167</v>
      </c>
      <c r="B73" s="2" t="s">
        <v>168</v>
      </c>
      <c r="C73" s="2" t="s">
        <v>18</v>
      </c>
      <c r="D73" s="2" t="s">
        <v>19</v>
      </c>
      <c r="E73" s="2">
        <v>25</v>
      </c>
      <c r="F73" s="2">
        <v>38000</v>
      </c>
      <c r="G73" s="2">
        <v>2</v>
      </c>
      <c r="H73" s="2">
        <v>3</v>
      </c>
      <c r="I73" s="2" t="s">
        <v>24</v>
      </c>
      <c r="J73" s="2" t="s">
        <v>29</v>
      </c>
    </row>
    <row r="74" spans="1:10" ht="28.8" x14ac:dyDescent="0.3">
      <c r="A74" s="2" t="s">
        <v>169</v>
      </c>
      <c r="B74" s="2" t="s">
        <v>170</v>
      </c>
      <c r="C74" s="2" t="s">
        <v>12</v>
      </c>
      <c r="D74" s="2" t="s">
        <v>34</v>
      </c>
      <c r="E74" s="2">
        <v>29</v>
      </c>
      <c r="F74" s="2">
        <v>47000</v>
      </c>
      <c r="G74" s="2">
        <v>5</v>
      </c>
      <c r="H74" s="2">
        <v>4</v>
      </c>
      <c r="I74" s="2" t="s">
        <v>14</v>
      </c>
      <c r="J74" s="2" t="s">
        <v>38</v>
      </c>
    </row>
    <row r="75" spans="1:10" ht="28.8" x14ac:dyDescent="0.3">
      <c r="A75" s="2" t="s">
        <v>171</v>
      </c>
      <c r="B75" s="2" t="s">
        <v>172</v>
      </c>
      <c r="C75" s="2" t="s">
        <v>18</v>
      </c>
      <c r="D75" s="2" t="s">
        <v>23</v>
      </c>
      <c r="E75" s="2">
        <v>24</v>
      </c>
      <c r="F75" s="2">
        <v>35000</v>
      </c>
      <c r="G75" s="2">
        <v>2</v>
      </c>
      <c r="H75" s="2">
        <v>3</v>
      </c>
      <c r="I75" s="2" t="s">
        <v>14</v>
      </c>
      <c r="J75" s="2" t="s">
        <v>15</v>
      </c>
    </row>
    <row r="76" spans="1:10" x14ac:dyDescent="0.3">
      <c r="A76" s="2" t="s">
        <v>173</v>
      </c>
      <c r="B76" s="2" t="s">
        <v>174</v>
      </c>
      <c r="C76" s="2" t="s">
        <v>12</v>
      </c>
      <c r="D76" s="2" t="s">
        <v>28</v>
      </c>
      <c r="E76" s="2">
        <v>36</v>
      </c>
      <c r="F76" s="2">
        <v>69000</v>
      </c>
      <c r="G76" s="2">
        <v>12</v>
      </c>
      <c r="H76" s="2">
        <v>5</v>
      </c>
      <c r="I76" s="2" t="s">
        <v>14</v>
      </c>
      <c r="J76" s="2" t="s">
        <v>20</v>
      </c>
    </row>
    <row r="77" spans="1:10" ht="28.8" x14ac:dyDescent="0.3">
      <c r="A77" s="2" t="s">
        <v>175</v>
      </c>
      <c r="B77" s="2" t="s">
        <v>176</v>
      </c>
      <c r="C77" s="2" t="s">
        <v>18</v>
      </c>
      <c r="D77" s="2" t="s">
        <v>13</v>
      </c>
      <c r="E77" s="2">
        <v>28</v>
      </c>
      <c r="F77" s="2">
        <v>45000</v>
      </c>
      <c r="G77" s="2">
        <v>5</v>
      </c>
      <c r="H77" s="2">
        <v>4</v>
      </c>
      <c r="I77" s="2" t="s">
        <v>24</v>
      </c>
      <c r="J77" s="2" t="s">
        <v>25</v>
      </c>
    </row>
    <row r="78" spans="1:10" x14ac:dyDescent="0.3">
      <c r="A78" s="2" t="s">
        <v>177</v>
      </c>
      <c r="B78" s="2" t="s">
        <v>178</v>
      </c>
      <c r="C78" s="2" t="s">
        <v>12</v>
      </c>
      <c r="D78" s="2" t="s">
        <v>19</v>
      </c>
      <c r="E78" s="2">
        <v>31</v>
      </c>
      <c r="F78" s="2">
        <v>52000</v>
      </c>
      <c r="G78" s="2">
        <v>7</v>
      </c>
      <c r="H78" s="2">
        <v>5</v>
      </c>
      <c r="I78" s="2" t="s">
        <v>14</v>
      </c>
      <c r="J78" s="2" t="s">
        <v>35</v>
      </c>
    </row>
    <row r="79" spans="1:10" ht="28.8" x14ac:dyDescent="0.3">
      <c r="A79" s="2" t="s">
        <v>179</v>
      </c>
      <c r="B79" s="2" t="s">
        <v>180</v>
      </c>
      <c r="C79" s="2" t="s">
        <v>18</v>
      </c>
      <c r="D79" s="2" t="s">
        <v>34</v>
      </c>
      <c r="E79" s="2">
        <v>27</v>
      </c>
      <c r="F79" s="2">
        <v>43000</v>
      </c>
      <c r="G79" s="2">
        <v>4</v>
      </c>
      <c r="H79" s="2">
        <v>4</v>
      </c>
      <c r="I79" s="2" t="s">
        <v>14</v>
      </c>
      <c r="J79" s="2" t="s">
        <v>29</v>
      </c>
    </row>
    <row r="80" spans="1:10" x14ac:dyDescent="0.3">
      <c r="A80" s="2" t="s">
        <v>181</v>
      </c>
      <c r="B80" s="2" t="s">
        <v>182</v>
      </c>
      <c r="C80" s="2" t="s">
        <v>12</v>
      </c>
      <c r="D80" s="2" t="s">
        <v>23</v>
      </c>
      <c r="E80" s="2">
        <v>29</v>
      </c>
      <c r="F80" s="2">
        <v>47000</v>
      </c>
      <c r="G80" s="2">
        <v>5</v>
      </c>
      <c r="H80" s="2">
        <v>4</v>
      </c>
      <c r="I80" s="2" t="s">
        <v>14</v>
      </c>
      <c r="J80" s="2" t="s">
        <v>38</v>
      </c>
    </row>
    <row r="81" spans="1:10" ht="28.8" x14ac:dyDescent="0.3">
      <c r="A81" s="2" t="s">
        <v>183</v>
      </c>
      <c r="B81" s="2" t="s">
        <v>184</v>
      </c>
      <c r="C81" s="2" t="s">
        <v>18</v>
      </c>
      <c r="D81" s="2" t="s">
        <v>28</v>
      </c>
      <c r="E81" s="2">
        <v>30</v>
      </c>
      <c r="F81" s="2">
        <v>54000</v>
      </c>
      <c r="G81" s="2">
        <v>7</v>
      </c>
      <c r="H81" s="2">
        <v>5</v>
      </c>
      <c r="I81" s="2" t="s">
        <v>24</v>
      </c>
      <c r="J81" s="2" t="s">
        <v>15</v>
      </c>
    </row>
    <row r="82" spans="1:10" x14ac:dyDescent="0.3">
      <c r="A82" s="2" t="s">
        <v>185</v>
      </c>
      <c r="B82" s="2" t="s">
        <v>186</v>
      </c>
      <c r="C82" s="2" t="s">
        <v>12</v>
      </c>
      <c r="D82" s="2" t="s">
        <v>13</v>
      </c>
      <c r="E82" s="2">
        <v>26</v>
      </c>
      <c r="F82" s="2">
        <v>41000</v>
      </c>
      <c r="G82" s="2">
        <v>3</v>
      </c>
      <c r="H82" s="2">
        <v>4</v>
      </c>
      <c r="I82" s="2" t="s">
        <v>14</v>
      </c>
      <c r="J82" s="2" t="s">
        <v>20</v>
      </c>
    </row>
    <row r="83" spans="1:10" ht="28.8" x14ac:dyDescent="0.3">
      <c r="A83" s="2" t="s">
        <v>187</v>
      </c>
      <c r="B83" s="2" t="s">
        <v>188</v>
      </c>
      <c r="C83" s="2" t="s">
        <v>18</v>
      </c>
      <c r="D83" s="2" t="s">
        <v>19</v>
      </c>
      <c r="E83" s="2">
        <v>28</v>
      </c>
      <c r="F83" s="2">
        <v>44000</v>
      </c>
      <c r="G83" s="2">
        <v>4</v>
      </c>
      <c r="H83" s="2">
        <v>4</v>
      </c>
      <c r="I83" s="2" t="s">
        <v>14</v>
      </c>
      <c r="J83" s="2" t="s">
        <v>25</v>
      </c>
    </row>
    <row r="84" spans="1:10" ht="28.8" x14ac:dyDescent="0.3">
      <c r="A84" s="2" t="s">
        <v>189</v>
      </c>
      <c r="B84" s="2" t="s">
        <v>190</v>
      </c>
      <c r="C84" s="2" t="s">
        <v>12</v>
      </c>
      <c r="D84" s="2" t="s">
        <v>34</v>
      </c>
      <c r="E84" s="2">
        <v>33</v>
      </c>
      <c r="F84" s="2">
        <v>60000</v>
      </c>
      <c r="G84" s="2">
        <v>9</v>
      </c>
      <c r="H84" s="2">
        <v>5</v>
      </c>
      <c r="I84" s="2" t="s">
        <v>14</v>
      </c>
      <c r="J84" s="2" t="s">
        <v>35</v>
      </c>
    </row>
    <row r="85" spans="1:10" x14ac:dyDescent="0.3">
      <c r="A85" s="2" t="s">
        <v>191</v>
      </c>
      <c r="B85" s="2" t="s">
        <v>192</v>
      </c>
      <c r="C85" s="2" t="s">
        <v>18</v>
      </c>
      <c r="D85" s="2" t="s">
        <v>23</v>
      </c>
      <c r="E85" s="2">
        <v>25</v>
      </c>
      <c r="F85" s="2">
        <v>38000</v>
      </c>
      <c r="G85" s="2">
        <v>2</v>
      </c>
      <c r="H85" s="2">
        <v>3</v>
      </c>
      <c r="I85" s="2" t="s">
        <v>24</v>
      </c>
      <c r="J85" s="2" t="s">
        <v>29</v>
      </c>
    </row>
    <row r="86" spans="1:10" x14ac:dyDescent="0.3">
      <c r="A86" s="2" t="s">
        <v>193</v>
      </c>
      <c r="B86" s="2" t="s">
        <v>194</v>
      </c>
      <c r="C86" s="2" t="s">
        <v>12</v>
      </c>
      <c r="D86" s="2" t="s">
        <v>28</v>
      </c>
      <c r="E86" s="2">
        <v>34</v>
      </c>
      <c r="F86" s="2">
        <v>62000</v>
      </c>
      <c r="G86" s="2">
        <v>10</v>
      </c>
      <c r="H86" s="2">
        <v>5</v>
      </c>
      <c r="I86" s="2" t="s">
        <v>14</v>
      </c>
      <c r="J86" s="2" t="s">
        <v>38</v>
      </c>
    </row>
    <row r="87" spans="1:10" ht="28.8" x14ac:dyDescent="0.3">
      <c r="A87" s="2" t="s">
        <v>195</v>
      </c>
      <c r="B87" s="2" t="s">
        <v>196</v>
      </c>
      <c r="C87" s="2" t="s">
        <v>18</v>
      </c>
      <c r="D87" s="2" t="s">
        <v>13</v>
      </c>
      <c r="E87" s="2">
        <v>27</v>
      </c>
      <c r="F87" s="2">
        <v>44000</v>
      </c>
      <c r="G87" s="2">
        <v>4</v>
      </c>
      <c r="H87" s="2">
        <v>4</v>
      </c>
      <c r="I87" s="2" t="s">
        <v>14</v>
      </c>
      <c r="J87" s="2" t="s">
        <v>15</v>
      </c>
    </row>
    <row r="88" spans="1:10" x14ac:dyDescent="0.3">
      <c r="A88" s="2" t="s">
        <v>197</v>
      </c>
      <c r="B88" s="2" t="s">
        <v>198</v>
      </c>
      <c r="C88" s="2" t="s">
        <v>12</v>
      </c>
      <c r="D88" s="2" t="s">
        <v>19</v>
      </c>
      <c r="E88" s="2">
        <v>30</v>
      </c>
      <c r="F88" s="2">
        <v>49000</v>
      </c>
      <c r="G88" s="2">
        <v>6</v>
      </c>
      <c r="H88" s="2">
        <v>5</v>
      </c>
      <c r="I88" s="2" t="s">
        <v>14</v>
      </c>
      <c r="J88" s="2" t="s">
        <v>20</v>
      </c>
    </row>
    <row r="89" spans="1:10" ht="28.8" x14ac:dyDescent="0.3">
      <c r="A89" s="2" t="s">
        <v>199</v>
      </c>
      <c r="B89" s="2" t="s">
        <v>200</v>
      </c>
      <c r="C89" s="2" t="s">
        <v>18</v>
      </c>
      <c r="D89" s="2" t="s">
        <v>34</v>
      </c>
      <c r="E89" s="2">
        <v>29</v>
      </c>
      <c r="F89" s="2">
        <v>47000</v>
      </c>
      <c r="G89" s="2">
        <v>5</v>
      </c>
      <c r="H89" s="2">
        <v>4</v>
      </c>
      <c r="I89" s="2" t="s">
        <v>24</v>
      </c>
      <c r="J89" s="2" t="s">
        <v>25</v>
      </c>
    </row>
    <row r="90" spans="1:10" x14ac:dyDescent="0.3">
      <c r="A90" s="2" t="s">
        <v>201</v>
      </c>
      <c r="B90" s="2" t="s">
        <v>202</v>
      </c>
      <c r="C90" s="2" t="s">
        <v>12</v>
      </c>
      <c r="D90" s="2" t="s">
        <v>23</v>
      </c>
      <c r="E90" s="2">
        <v>31</v>
      </c>
      <c r="F90" s="2">
        <v>53000</v>
      </c>
      <c r="G90" s="2">
        <v>7</v>
      </c>
      <c r="H90" s="2">
        <v>5</v>
      </c>
      <c r="I90" s="2" t="s">
        <v>14</v>
      </c>
      <c r="J90" s="2" t="s">
        <v>35</v>
      </c>
    </row>
    <row r="91" spans="1:10" ht="28.8" x14ac:dyDescent="0.3">
      <c r="A91" s="2" t="s">
        <v>203</v>
      </c>
      <c r="B91" s="2" t="s">
        <v>204</v>
      </c>
      <c r="C91" s="2" t="s">
        <v>18</v>
      </c>
      <c r="D91" s="2" t="s">
        <v>28</v>
      </c>
      <c r="E91" s="2">
        <v>28</v>
      </c>
      <c r="F91" s="2">
        <v>47000</v>
      </c>
      <c r="G91" s="2">
        <v>5</v>
      </c>
      <c r="H91" s="2">
        <v>4</v>
      </c>
      <c r="I91" s="2" t="s">
        <v>14</v>
      </c>
      <c r="J91" s="2" t="s">
        <v>29</v>
      </c>
    </row>
    <row r="92" spans="1:10" x14ac:dyDescent="0.3">
      <c r="A92" s="2" t="s">
        <v>205</v>
      </c>
      <c r="B92" s="2" t="s">
        <v>206</v>
      </c>
      <c r="C92" s="2" t="s">
        <v>12</v>
      </c>
      <c r="D92" s="2" t="s">
        <v>13</v>
      </c>
      <c r="E92" s="2">
        <v>35</v>
      </c>
      <c r="F92" s="2">
        <v>68000</v>
      </c>
      <c r="G92" s="2">
        <v>12</v>
      </c>
      <c r="H92" s="2">
        <v>5</v>
      </c>
      <c r="I92" s="2" t="s">
        <v>14</v>
      </c>
      <c r="J92" s="2" t="s">
        <v>38</v>
      </c>
    </row>
    <row r="93" spans="1:10" ht="28.8" x14ac:dyDescent="0.3">
      <c r="A93" s="2" t="s">
        <v>207</v>
      </c>
      <c r="B93" s="2" t="s">
        <v>208</v>
      </c>
      <c r="C93" s="2" t="s">
        <v>18</v>
      </c>
      <c r="D93" s="2" t="s">
        <v>19</v>
      </c>
      <c r="E93" s="2">
        <v>26</v>
      </c>
      <c r="F93" s="2">
        <v>39000</v>
      </c>
      <c r="G93" s="2">
        <v>3</v>
      </c>
      <c r="H93" s="2">
        <v>3</v>
      </c>
      <c r="I93" s="2" t="s">
        <v>24</v>
      </c>
      <c r="J93" s="2" t="s">
        <v>15</v>
      </c>
    </row>
    <row r="94" spans="1:10" ht="28.8" x14ac:dyDescent="0.3">
      <c r="A94" s="2" t="s">
        <v>209</v>
      </c>
      <c r="B94" s="2" t="s">
        <v>210</v>
      </c>
      <c r="C94" s="2" t="s">
        <v>12</v>
      </c>
      <c r="D94" s="2" t="s">
        <v>34</v>
      </c>
      <c r="E94" s="2">
        <v>32</v>
      </c>
      <c r="F94" s="2">
        <v>56000</v>
      </c>
      <c r="G94" s="2">
        <v>8</v>
      </c>
      <c r="H94" s="2">
        <v>5</v>
      </c>
      <c r="I94" s="2" t="s">
        <v>14</v>
      </c>
      <c r="J94" s="2" t="s">
        <v>20</v>
      </c>
    </row>
    <row r="95" spans="1:10" ht="28.8" x14ac:dyDescent="0.3">
      <c r="A95" s="2" t="s">
        <v>211</v>
      </c>
      <c r="B95" s="2" t="s">
        <v>212</v>
      </c>
      <c r="C95" s="2" t="s">
        <v>18</v>
      </c>
      <c r="D95" s="2" t="s">
        <v>23</v>
      </c>
      <c r="E95" s="2">
        <v>27</v>
      </c>
      <c r="F95" s="2">
        <v>42000</v>
      </c>
      <c r="G95" s="2">
        <v>4</v>
      </c>
      <c r="H95" s="2">
        <v>4</v>
      </c>
      <c r="I95" s="2" t="s">
        <v>14</v>
      </c>
      <c r="J95" s="2" t="s">
        <v>25</v>
      </c>
    </row>
    <row r="96" spans="1:10" x14ac:dyDescent="0.3">
      <c r="A96" s="2" t="s">
        <v>213</v>
      </c>
      <c r="B96" s="2" t="s">
        <v>214</v>
      </c>
      <c r="C96" s="2" t="s">
        <v>12</v>
      </c>
      <c r="D96" s="2" t="s">
        <v>28</v>
      </c>
      <c r="E96" s="2">
        <v>30</v>
      </c>
      <c r="F96" s="2">
        <v>52000</v>
      </c>
      <c r="G96" s="2">
        <v>6</v>
      </c>
      <c r="H96" s="2">
        <v>5</v>
      </c>
      <c r="I96" s="2" t="s">
        <v>14</v>
      </c>
      <c r="J96" s="2" t="s">
        <v>35</v>
      </c>
    </row>
    <row r="97" spans="1:10" x14ac:dyDescent="0.3">
      <c r="A97" s="2" t="s">
        <v>215</v>
      </c>
      <c r="B97" s="2" t="s">
        <v>216</v>
      </c>
      <c r="C97" s="2" t="s">
        <v>18</v>
      </c>
      <c r="D97" s="2" t="s">
        <v>13</v>
      </c>
      <c r="E97" s="2">
        <v>24</v>
      </c>
      <c r="F97" s="2">
        <v>36000</v>
      </c>
      <c r="G97" s="2">
        <v>2</v>
      </c>
      <c r="H97" s="2">
        <v>3</v>
      </c>
      <c r="I97" s="2" t="s">
        <v>24</v>
      </c>
      <c r="J97" s="2" t="s">
        <v>29</v>
      </c>
    </row>
    <row r="98" spans="1:10" x14ac:dyDescent="0.3">
      <c r="A98" s="2" t="s">
        <v>217</v>
      </c>
      <c r="B98" s="2" t="s">
        <v>218</v>
      </c>
      <c r="C98" s="2" t="s">
        <v>12</v>
      </c>
      <c r="D98" s="2" t="s">
        <v>19</v>
      </c>
      <c r="E98" s="2">
        <v>29</v>
      </c>
      <c r="F98" s="2">
        <v>47000</v>
      </c>
      <c r="G98" s="2">
        <v>5</v>
      </c>
      <c r="H98" s="2">
        <v>4</v>
      </c>
      <c r="I98" s="2" t="s">
        <v>14</v>
      </c>
      <c r="J98" s="2" t="s">
        <v>38</v>
      </c>
    </row>
    <row r="99" spans="1:10" ht="28.8" x14ac:dyDescent="0.3">
      <c r="A99" s="2" t="s">
        <v>219</v>
      </c>
      <c r="B99" s="2" t="s">
        <v>220</v>
      </c>
      <c r="C99" s="2" t="s">
        <v>18</v>
      </c>
      <c r="D99" s="2" t="s">
        <v>34</v>
      </c>
      <c r="E99" s="2">
        <v>28</v>
      </c>
      <c r="F99" s="2">
        <v>45000</v>
      </c>
      <c r="G99" s="2">
        <v>5</v>
      </c>
      <c r="H99" s="2">
        <v>4</v>
      </c>
      <c r="I99" s="2" t="s">
        <v>14</v>
      </c>
      <c r="J99" s="2" t="s">
        <v>15</v>
      </c>
    </row>
    <row r="100" spans="1:10" x14ac:dyDescent="0.3">
      <c r="A100" s="2" t="s">
        <v>221</v>
      </c>
      <c r="B100" s="2" t="s">
        <v>222</v>
      </c>
      <c r="C100" s="2" t="s">
        <v>12</v>
      </c>
      <c r="D100" s="2" t="s">
        <v>23</v>
      </c>
      <c r="E100" s="2">
        <v>33</v>
      </c>
      <c r="F100" s="2">
        <v>57000</v>
      </c>
      <c r="G100" s="2">
        <v>9</v>
      </c>
      <c r="H100" s="2">
        <v>5</v>
      </c>
      <c r="I100" s="2" t="s">
        <v>14</v>
      </c>
      <c r="J100" s="2" t="s">
        <v>20</v>
      </c>
    </row>
    <row r="101" spans="1:10" ht="28.8" x14ac:dyDescent="0.3">
      <c r="A101" s="2" t="s">
        <v>223</v>
      </c>
      <c r="B101" s="2" t="s">
        <v>224</v>
      </c>
      <c r="C101" s="2" t="s">
        <v>18</v>
      </c>
      <c r="D101" s="2" t="s">
        <v>28</v>
      </c>
      <c r="E101" s="2">
        <v>31</v>
      </c>
      <c r="F101" s="2">
        <v>55000</v>
      </c>
      <c r="G101" s="2">
        <v>7</v>
      </c>
      <c r="H101" s="2">
        <v>5</v>
      </c>
      <c r="I101" s="2" t="s">
        <v>14</v>
      </c>
      <c r="J101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511C0-1085-4504-AB86-8F3701C4EBED}">
  <dimension ref="A1:J102"/>
  <sheetViews>
    <sheetView topLeftCell="A85" zoomScale="68" workbookViewId="0">
      <selection activeCell="J102" sqref="J102"/>
    </sheetView>
  </sheetViews>
  <sheetFormatPr defaultRowHeight="14.4" x14ac:dyDescent="0.3"/>
  <cols>
    <col min="1" max="1" width="13.21875" customWidth="1"/>
    <col min="2" max="2" width="8.44140625" bestFit="1" customWidth="1"/>
    <col min="3" max="3" width="9" customWidth="1"/>
    <col min="4" max="4" width="13" customWidth="1"/>
    <col min="5" max="5" width="6.109375" customWidth="1"/>
    <col min="6" max="6" width="14.33203125" style="5" customWidth="1"/>
    <col min="7" max="7" width="12" customWidth="1"/>
    <col min="8" max="8" width="19.5546875" customWidth="1"/>
    <col min="9" max="9" width="13" customWidth="1"/>
    <col min="10" max="10" width="18.8867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10</v>
      </c>
      <c r="B2" s="2" t="s">
        <v>11</v>
      </c>
      <c r="C2" s="2" t="s">
        <v>12</v>
      </c>
      <c r="D2" s="2" t="s">
        <v>13</v>
      </c>
      <c r="E2" s="2">
        <v>24</v>
      </c>
      <c r="F2" s="4">
        <v>35000</v>
      </c>
      <c r="G2" s="2">
        <v>2</v>
      </c>
      <c r="H2" s="2">
        <v>4</v>
      </c>
      <c r="I2" s="2" t="s">
        <v>14</v>
      </c>
      <c r="J2" s="2" t="s">
        <v>15</v>
      </c>
    </row>
    <row r="3" spans="1:10" x14ac:dyDescent="0.3">
      <c r="A3" s="2" t="s">
        <v>16</v>
      </c>
      <c r="B3" s="2" t="s">
        <v>17</v>
      </c>
      <c r="C3" s="2" t="s">
        <v>18</v>
      </c>
      <c r="D3" s="2" t="s">
        <v>19</v>
      </c>
      <c r="E3" s="2">
        <v>29</v>
      </c>
      <c r="F3" s="4">
        <v>42000</v>
      </c>
      <c r="G3" s="2">
        <v>5</v>
      </c>
      <c r="H3" s="2">
        <v>5</v>
      </c>
      <c r="I3" s="2" t="s">
        <v>14</v>
      </c>
      <c r="J3" s="2" t="s">
        <v>20</v>
      </c>
    </row>
    <row r="4" spans="1:10" x14ac:dyDescent="0.3">
      <c r="A4" s="2" t="s">
        <v>21</v>
      </c>
      <c r="B4" s="2" t="s">
        <v>22</v>
      </c>
      <c r="C4" s="2" t="s">
        <v>12</v>
      </c>
      <c r="D4" s="2" t="s">
        <v>23</v>
      </c>
      <c r="E4" s="2">
        <v>27</v>
      </c>
      <c r="F4" s="4">
        <v>39000</v>
      </c>
      <c r="G4" s="2">
        <v>3</v>
      </c>
      <c r="H4" s="2">
        <v>3</v>
      </c>
      <c r="I4" s="2" t="s">
        <v>24</v>
      </c>
      <c r="J4" s="2" t="s">
        <v>25</v>
      </c>
    </row>
    <row r="5" spans="1:10" x14ac:dyDescent="0.3">
      <c r="A5" s="2" t="s">
        <v>26</v>
      </c>
      <c r="B5" s="2" t="s">
        <v>27</v>
      </c>
      <c r="C5" s="2" t="s">
        <v>18</v>
      </c>
      <c r="D5" s="2" t="s">
        <v>28</v>
      </c>
      <c r="E5" s="2">
        <v>31</v>
      </c>
      <c r="F5" s="4">
        <v>52000</v>
      </c>
      <c r="G5" s="2">
        <v>7</v>
      </c>
      <c r="H5" s="2">
        <v>4</v>
      </c>
      <c r="I5" s="2" t="s">
        <v>14</v>
      </c>
      <c r="J5" s="2" t="s">
        <v>29</v>
      </c>
    </row>
    <row r="6" spans="1:10" x14ac:dyDescent="0.3">
      <c r="A6" s="2" t="s">
        <v>30</v>
      </c>
      <c r="B6" s="2" t="s">
        <v>31</v>
      </c>
      <c r="C6" s="2" t="s">
        <v>12</v>
      </c>
      <c r="D6" s="2" t="s">
        <v>13</v>
      </c>
      <c r="E6" s="2">
        <v>26</v>
      </c>
      <c r="F6" s="4">
        <v>41000</v>
      </c>
      <c r="G6" s="2">
        <v>4</v>
      </c>
      <c r="H6" s="2">
        <v>5</v>
      </c>
      <c r="I6" s="2" t="s">
        <v>14</v>
      </c>
      <c r="J6" s="2" t="s">
        <v>15</v>
      </c>
    </row>
    <row r="7" spans="1:10" x14ac:dyDescent="0.3">
      <c r="A7" s="2" t="s">
        <v>32</v>
      </c>
      <c r="B7" s="2" t="s">
        <v>33</v>
      </c>
      <c r="C7" s="2" t="s">
        <v>18</v>
      </c>
      <c r="D7" s="2" t="s">
        <v>34</v>
      </c>
      <c r="E7" s="2">
        <v>28</v>
      </c>
      <c r="F7" s="4">
        <v>45000</v>
      </c>
      <c r="G7" s="2">
        <v>5</v>
      </c>
      <c r="H7" s="2">
        <v>4</v>
      </c>
      <c r="I7" s="2" t="s">
        <v>24</v>
      </c>
      <c r="J7" s="2" t="s">
        <v>35</v>
      </c>
    </row>
    <row r="8" spans="1:10" x14ac:dyDescent="0.3">
      <c r="A8" s="2" t="s">
        <v>36</v>
      </c>
      <c r="B8" s="2" t="s">
        <v>37</v>
      </c>
      <c r="C8" s="2" t="s">
        <v>12</v>
      </c>
      <c r="D8" s="2" t="s">
        <v>19</v>
      </c>
      <c r="E8" s="2">
        <v>35</v>
      </c>
      <c r="F8" s="4">
        <v>56000</v>
      </c>
      <c r="G8" s="2">
        <v>10</v>
      </c>
      <c r="H8" s="2">
        <v>5</v>
      </c>
      <c r="I8" s="2" t="s">
        <v>14</v>
      </c>
      <c r="J8" s="2" t="s">
        <v>38</v>
      </c>
    </row>
    <row r="9" spans="1:10" x14ac:dyDescent="0.3">
      <c r="A9" s="2" t="s">
        <v>39</v>
      </c>
      <c r="B9" s="2" t="s">
        <v>40</v>
      </c>
      <c r="C9" s="2" t="s">
        <v>18</v>
      </c>
      <c r="D9" s="2" t="s">
        <v>23</v>
      </c>
      <c r="E9" s="2">
        <v>25</v>
      </c>
      <c r="F9" s="4">
        <v>36000</v>
      </c>
      <c r="G9" s="2">
        <v>2</v>
      </c>
      <c r="H9" s="2">
        <v>3</v>
      </c>
      <c r="I9" s="2" t="s">
        <v>24</v>
      </c>
      <c r="J9" s="2" t="s">
        <v>20</v>
      </c>
    </row>
    <row r="10" spans="1:10" x14ac:dyDescent="0.3">
      <c r="A10" s="2" t="s">
        <v>41</v>
      </c>
      <c r="B10" s="2" t="s">
        <v>42</v>
      </c>
      <c r="C10" s="2" t="s">
        <v>12</v>
      </c>
      <c r="D10" s="2" t="s">
        <v>13</v>
      </c>
      <c r="E10" s="2">
        <v>30</v>
      </c>
      <c r="F10" s="4">
        <v>60000</v>
      </c>
      <c r="G10" s="2">
        <v>8</v>
      </c>
      <c r="H10" s="2">
        <v>5</v>
      </c>
      <c r="I10" s="2" t="s">
        <v>14</v>
      </c>
      <c r="J10" s="2" t="s">
        <v>25</v>
      </c>
    </row>
    <row r="11" spans="1:10" x14ac:dyDescent="0.3">
      <c r="A11" s="2" t="s">
        <v>43</v>
      </c>
      <c r="B11" s="2" t="s">
        <v>44</v>
      </c>
      <c r="C11" s="2" t="s">
        <v>18</v>
      </c>
      <c r="D11" s="2" t="s">
        <v>28</v>
      </c>
      <c r="E11" s="2">
        <v>32</v>
      </c>
      <c r="F11" s="4">
        <v>55000</v>
      </c>
      <c r="G11" s="2">
        <v>8</v>
      </c>
      <c r="H11" s="2">
        <v>4</v>
      </c>
      <c r="I11" s="2" t="s">
        <v>14</v>
      </c>
      <c r="J11" s="2" t="s">
        <v>15</v>
      </c>
    </row>
    <row r="12" spans="1:10" x14ac:dyDescent="0.3">
      <c r="A12" s="2" t="s">
        <v>45</v>
      </c>
      <c r="B12" s="2" t="s">
        <v>46</v>
      </c>
      <c r="C12" s="2" t="s">
        <v>12</v>
      </c>
      <c r="D12" s="2" t="s">
        <v>34</v>
      </c>
      <c r="E12" s="2">
        <v>27</v>
      </c>
      <c r="F12" s="4">
        <v>40000</v>
      </c>
      <c r="G12" s="2">
        <v>3</v>
      </c>
      <c r="H12" s="2">
        <v>4</v>
      </c>
      <c r="I12" s="2" t="s">
        <v>14</v>
      </c>
      <c r="J12" s="2" t="s">
        <v>29</v>
      </c>
    </row>
    <row r="13" spans="1:10" x14ac:dyDescent="0.3">
      <c r="A13" s="2" t="s">
        <v>47</v>
      </c>
      <c r="B13" s="2" t="s">
        <v>48</v>
      </c>
      <c r="C13" s="2" t="s">
        <v>18</v>
      </c>
      <c r="D13" s="2" t="s">
        <v>19</v>
      </c>
      <c r="E13" s="2">
        <v>26</v>
      </c>
      <c r="F13" s="4">
        <v>38000</v>
      </c>
      <c r="G13" s="2">
        <v>2</v>
      </c>
      <c r="H13" s="2">
        <v>3</v>
      </c>
      <c r="I13" s="2" t="s">
        <v>24</v>
      </c>
      <c r="J13" s="2" t="s">
        <v>35</v>
      </c>
    </row>
    <row r="14" spans="1:10" x14ac:dyDescent="0.3">
      <c r="A14" s="2" t="s">
        <v>49</v>
      </c>
      <c r="B14" s="2" t="s">
        <v>50</v>
      </c>
      <c r="C14" s="2" t="s">
        <v>12</v>
      </c>
      <c r="D14" s="2" t="s">
        <v>23</v>
      </c>
      <c r="E14" s="2">
        <v>29</v>
      </c>
      <c r="F14" s="4">
        <v>47000</v>
      </c>
      <c r="G14" s="2">
        <v>5</v>
      </c>
      <c r="H14" s="2">
        <v>4</v>
      </c>
      <c r="I14" s="2" t="s">
        <v>14</v>
      </c>
      <c r="J14" s="2" t="s">
        <v>38</v>
      </c>
    </row>
    <row r="15" spans="1:10" x14ac:dyDescent="0.3">
      <c r="A15" s="2" t="s">
        <v>51</v>
      </c>
      <c r="B15" s="2" t="s">
        <v>52</v>
      </c>
      <c r="C15" s="2" t="s">
        <v>18</v>
      </c>
      <c r="D15" s="2" t="s">
        <v>13</v>
      </c>
      <c r="E15" s="2">
        <v>23</v>
      </c>
      <c r="F15" s="4">
        <v>34000</v>
      </c>
      <c r="G15" s="2">
        <v>1</v>
      </c>
      <c r="H15" s="2">
        <v>4</v>
      </c>
      <c r="I15" s="2" t="s">
        <v>14</v>
      </c>
      <c r="J15" s="2" t="s">
        <v>25</v>
      </c>
    </row>
    <row r="16" spans="1:10" x14ac:dyDescent="0.3">
      <c r="A16" s="2" t="s">
        <v>53</v>
      </c>
      <c r="B16" s="2" t="s">
        <v>54</v>
      </c>
      <c r="C16" s="2" t="s">
        <v>12</v>
      </c>
      <c r="D16" s="2" t="s">
        <v>28</v>
      </c>
      <c r="E16" s="2">
        <v>34</v>
      </c>
      <c r="F16" s="4">
        <v>61000</v>
      </c>
      <c r="G16" s="2">
        <v>9</v>
      </c>
      <c r="H16" s="2">
        <v>5</v>
      </c>
      <c r="I16" s="2" t="s">
        <v>14</v>
      </c>
      <c r="J16" s="2" t="s">
        <v>20</v>
      </c>
    </row>
    <row r="17" spans="1:10" x14ac:dyDescent="0.3">
      <c r="A17" s="2" t="s">
        <v>55</v>
      </c>
      <c r="B17" s="2" t="s">
        <v>56</v>
      </c>
      <c r="C17" s="2" t="s">
        <v>18</v>
      </c>
      <c r="D17" s="2" t="s">
        <v>34</v>
      </c>
      <c r="E17" s="2">
        <v>31</v>
      </c>
      <c r="F17" s="4">
        <v>50000</v>
      </c>
      <c r="G17" s="2">
        <v>7</v>
      </c>
      <c r="H17" s="2">
        <v>4</v>
      </c>
      <c r="I17" s="2" t="s">
        <v>24</v>
      </c>
      <c r="J17" s="2" t="s">
        <v>15</v>
      </c>
    </row>
    <row r="18" spans="1:10" x14ac:dyDescent="0.3">
      <c r="A18" s="2" t="s">
        <v>57</v>
      </c>
      <c r="B18" s="2" t="s">
        <v>58</v>
      </c>
      <c r="C18" s="2" t="s">
        <v>12</v>
      </c>
      <c r="D18" s="2" t="s">
        <v>19</v>
      </c>
      <c r="E18" s="2">
        <v>28</v>
      </c>
      <c r="F18" s="4">
        <v>43000</v>
      </c>
      <c r="G18" s="2">
        <v>4</v>
      </c>
      <c r="H18" s="2">
        <v>4</v>
      </c>
      <c r="I18" s="2" t="s">
        <v>14</v>
      </c>
      <c r="J18" s="2" t="s">
        <v>35</v>
      </c>
    </row>
    <row r="19" spans="1:10" x14ac:dyDescent="0.3">
      <c r="A19" s="2" t="s">
        <v>59</v>
      </c>
      <c r="B19" s="2" t="s">
        <v>60</v>
      </c>
      <c r="C19" s="2" t="s">
        <v>18</v>
      </c>
      <c r="D19" s="2" t="s">
        <v>23</v>
      </c>
      <c r="E19" s="2">
        <v>27</v>
      </c>
      <c r="F19" s="4">
        <v>41000</v>
      </c>
      <c r="G19" s="2">
        <v>3</v>
      </c>
      <c r="H19" s="2">
        <v>3</v>
      </c>
      <c r="I19" s="2" t="s">
        <v>14</v>
      </c>
      <c r="J19" s="2" t="s">
        <v>29</v>
      </c>
    </row>
    <row r="20" spans="1:10" x14ac:dyDescent="0.3">
      <c r="A20" s="2" t="s">
        <v>61</v>
      </c>
      <c r="B20" s="2" t="s">
        <v>62</v>
      </c>
      <c r="C20" s="2" t="s">
        <v>12</v>
      </c>
      <c r="D20" s="2" t="s">
        <v>13</v>
      </c>
      <c r="E20" s="2">
        <v>33</v>
      </c>
      <c r="F20" s="4">
        <v>64000</v>
      </c>
      <c r="G20" s="2">
        <v>10</v>
      </c>
      <c r="H20" s="2">
        <v>5</v>
      </c>
      <c r="I20" s="2" t="s">
        <v>14</v>
      </c>
      <c r="J20" s="2" t="s">
        <v>38</v>
      </c>
    </row>
    <row r="21" spans="1:10" x14ac:dyDescent="0.3">
      <c r="A21" s="2" t="s">
        <v>63</v>
      </c>
      <c r="B21" s="2" t="s">
        <v>64</v>
      </c>
      <c r="C21" s="2" t="s">
        <v>18</v>
      </c>
      <c r="D21" s="2" t="s">
        <v>28</v>
      </c>
      <c r="E21" s="2">
        <v>30</v>
      </c>
      <c r="F21" s="4">
        <v>53000</v>
      </c>
      <c r="G21" s="2">
        <v>6</v>
      </c>
      <c r="H21" s="2">
        <v>4</v>
      </c>
      <c r="I21" s="2" t="s">
        <v>24</v>
      </c>
      <c r="J21" s="2" t="s">
        <v>25</v>
      </c>
    </row>
    <row r="22" spans="1:10" x14ac:dyDescent="0.3">
      <c r="A22" s="2" t="s">
        <v>65</v>
      </c>
      <c r="B22" s="2" t="s">
        <v>66</v>
      </c>
      <c r="C22" s="2" t="s">
        <v>12</v>
      </c>
      <c r="D22" s="2" t="s">
        <v>34</v>
      </c>
      <c r="E22" s="2">
        <v>25</v>
      </c>
      <c r="F22" s="4">
        <v>36000</v>
      </c>
      <c r="G22" s="2">
        <v>2</v>
      </c>
      <c r="H22" s="2">
        <v>3</v>
      </c>
      <c r="I22" s="2" t="s">
        <v>14</v>
      </c>
      <c r="J22" s="2" t="s">
        <v>15</v>
      </c>
    </row>
    <row r="23" spans="1:10" x14ac:dyDescent="0.3">
      <c r="A23" s="2" t="s">
        <v>67</v>
      </c>
      <c r="B23" s="2" t="s">
        <v>68</v>
      </c>
      <c r="C23" s="2" t="s">
        <v>18</v>
      </c>
      <c r="D23" s="2" t="s">
        <v>19</v>
      </c>
      <c r="E23" s="2">
        <v>27</v>
      </c>
      <c r="F23" s="4">
        <v>42000</v>
      </c>
      <c r="G23" s="2">
        <v>4</v>
      </c>
      <c r="H23" s="2">
        <v>4</v>
      </c>
      <c r="I23" s="2" t="s">
        <v>14</v>
      </c>
      <c r="J23" s="2" t="s">
        <v>20</v>
      </c>
    </row>
    <row r="24" spans="1:10" x14ac:dyDescent="0.3">
      <c r="A24" s="2" t="s">
        <v>69</v>
      </c>
      <c r="B24" s="2" t="s">
        <v>70</v>
      </c>
      <c r="C24" s="2" t="s">
        <v>12</v>
      </c>
      <c r="D24" s="2" t="s">
        <v>13</v>
      </c>
      <c r="E24" s="2">
        <v>29</v>
      </c>
      <c r="F24" s="4">
        <v>49000</v>
      </c>
      <c r="G24" s="2">
        <v>6</v>
      </c>
      <c r="H24" s="2">
        <v>5</v>
      </c>
      <c r="I24" s="2" t="s">
        <v>14</v>
      </c>
      <c r="J24" s="2" t="s">
        <v>35</v>
      </c>
    </row>
    <row r="25" spans="1:10" x14ac:dyDescent="0.3">
      <c r="A25" s="2" t="s">
        <v>71</v>
      </c>
      <c r="B25" s="2" t="s">
        <v>72</v>
      </c>
      <c r="C25" s="2" t="s">
        <v>18</v>
      </c>
      <c r="D25" s="2" t="s">
        <v>23</v>
      </c>
      <c r="E25" s="2">
        <v>24</v>
      </c>
      <c r="F25" s="4">
        <v>35000</v>
      </c>
      <c r="G25" s="2">
        <v>2</v>
      </c>
      <c r="H25" s="2">
        <v>3</v>
      </c>
      <c r="I25" s="2" t="s">
        <v>24</v>
      </c>
      <c r="J25" s="2" t="s">
        <v>38</v>
      </c>
    </row>
    <row r="26" spans="1:10" x14ac:dyDescent="0.3">
      <c r="A26" s="2" t="s">
        <v>73</v>
      </c>
      <c r="B26" s="2" t="s">
        <v>74</v>
      </c>
      <c r="C26" s="2" t="s">
        <v>12</v>
      </c>
      <c r="D26" s="2" t="s">
        <v>28</v>
      </c>
      <c r="E26" s="2">
        <v>36</v>
      </c>
      <c r="F26" s="4">
        <v>68000</v>
      </c>
      <c r="G26" s="2">
        <v>12</v>
      </c>
      <c r="H26" s="2">
        <v>5</v>
      </c>
      <c r="I26" s="2" t="s">
        <v>14</v>
      </c>
      <c r="J26" s="2" t="s">
        <v>29</v>
      </c>
    </row>
    <row r="27" spans="1:10" x14ac:dyDescent="0.3">
      <c r="A27" s="2" t="s">
        <v>75</v>
      </c>
      <c r="B27" s="2" t="s">
        <v>76</v>
      </c>
      <c r="C27" s="2" t="s">
        <v>18</v>
      </c>
      <c r="D27" s="2" t="s">
        <v>34</v>
      </c>
      <c r="E27" s="2">
        <v>29</v>
      </c>
      <c r="F27" s="4">
        <v>46000</v>
      </c>
      <c r="G27" s="2">
        <v>5</v>
      </c>
      <c r="H27" s="2">
        <v>4</v>
      </c>
      <c r="I27" s="2" t="s">
        <v>14</v>
      </c>
      <c r="J27" s="2" t="s">
        <v>25</v>
      </c>
    </row>
    <row r="28" spans="1:10" x14ac:dyDescent="0.3">
      <c r="A28" s="2" t="s">
        <v>77</v>
      </c>
      <c r="B28" s="2" t="s">
        <v>78</v>
      </c>
      <c r="C28" s="2" t="s">
        <v>12</v>
      </c>
      <c r="D28" s="2" t="s">
        <v>19</v>
      </c>
      <c r="E28" s="2">
        <v>32</v>
      </c>
      <c r="F28" s="4">
        <v>54000</v>
      </c>
      <c r="G28" s="2">
        <v>8</v>
      </c>
      <c r="H28" s="2">
        <v>5</v>
      </c>
      <c r="I28" s="2" t="s">
        <v>14</v>
      </c>
      <c r="J28" s="2" t="s">
        <v>15</v>
      </c>
    </row>
    <row r="29" spans="1:10" x14ac:dyDescent="0.3">
      <c r="A29" s="2" t="s">
        <v>79</v>
      </c>
      <c r="B29" s="2" t="s">
        <v>80</v>
      </c>
      <c r="C29" s="2" t="s">
        <v>18</v>
      </c>
      <c r="D29" s="2" t="s">
        <v>13</v>
      </c>
      <c r="E29" s="2">
        <v>26</v>
      </c>
      <c r="F29" s="4">
        <v>41000</v>
      </c>
      <c r="G29" s="2">
        <v>3</v>
      </c>
      <c r="H29" s="2">
        <v>4</v>
      </c>
      <c r="I29" s="2" t="s">
        <v>24</v>
      </c>
      <c r="J29" s="2" t="s">
        <v>20</v>
      </c>
    </row>
    <row r="30" spans="1:10" x14ac:dyDescent="0.3">
      <c r="A30" s="2" t="s">
        <v>81</v>
      </c>
      <c r="B30" s="2" t="s">
        <v>82</v>
      </c>
      <c r="C30" s="2" t="s">
        <v>12</v>
      </c>
      <c r="D30" s="2" t="s">
        <v>23</v>
      </c>
      <c r="E30" s="2">
        <v>28</v>
      </c>
      <c r="F30" s="4">
        <v>43000</v>
      </c>
      <c r="G30" s="2">
        <v>4</v>
      </c>
      <c r="H30" s="2">
        <v>4</v>
      </c>
      <c r="I30" s="2" t="s">
        <v>14</v>
      </c>
      <c r="J30" s="2" t="s">
        <v>35</v>
      </c>
    </row>
    <row r="31" spans="1:10" x14ac:dyDescent="0.3">
      <c r="A31" s="2" t="s">
        <v>83</v>
      </c>
      <c r="B31" s="2" t="s">
        <v>84</v>
      </c>
      <c r="C31" s="2" t="s">
        <v>18</v>
      </c>
      <c r="D31" s="2" t="s">
        <v>28</v>
      </c>
      <c r="E31" s="2">
        <v>31</v>
      </c>
      <c r="F31" s="4">
        <v>56000</v>
      </c>
      <c r="G31" s="2">
        <v>7</v>
      </c>
      <c r="H31" s="2">
        <v>5</v>
      </c>
      <c r="I31" s="2" t="s">
        <v>14</v>
      </c>
      <c r="J31" s="2" t="s">
        <v>38</v>
      </c>
    </row>
    <row r="32" spans="1:10" x14ac:dyDescent="0.3">
      <c r="A32" s="2" t="s">
        <v>85</v>
      </c>
      <c r="B32" s="2" t="s">
        <v>86</v>
      </c>
      <c r="C32" s="2" t="s">
        <v>12</v>
      </c>
      <c r="D32" s="2" t="s">
        <v>34</v>
      </c>
      <c r="E32" s="2">
        <v>30</v>
      </c>
      <c r="F32" s="4">
        <v>49000</v>
      </c>
      <c r="G32" s="2">
        <v>6</v>
      </c>
      <c r="H32" s="2">
        <v>4</v>
      </c>
      <c r="I32" s="2" t="s">
        <v>14</v>
      </c>
      <c r="J32" s="2" t="s">
        <v>29</v>
      </c>
    </row>
    <row r="33" spans="1:10" x14ac:dyDescent="0.3">
      <c r="A33" s="2" t="s">
        <v>87</v>
      </c>
      <c r="B33" s="2" t="s">
        <v>88</v>
      </c>
      <c r="C33" s="2" t="s">
        <v>18</v>
      </c>
      <c r="D33" s="2" t="s">
        <v>19</v>
      </c>
      <c r="E33" s="2">
        <v>25</v>
      </c>
      <c r="F33" s="4">
        <v>37000</v>
      </c>
      <c r="G33" s="2">
        <v>2</v>
      </c>
      <c r="H33" s="2">
        <v>3</v>
      </c>
      <c r="I33" s="2" t="s">
        <v>24</v>
      </c>
      <c r="J33" s="2" t="s">
        <v>15</v>
      </c>
    </row>
    <row r="34" spans="1:10" x14ac:dyDescent="0.3">
      <c r="A34" s="2" t="s">
        <v>89</v>
      </c>
      <c r="B34" s="2" t="s">
        <v>90</v>
      </c>
      <c r="C34" s="2" t="s">
        <v>12</v>
      </c>
      <c r="D34" s="2" t="s">
        <v>13</v>
      </c>
      <c r="E34" s="2">
        <v>34</v>
      </c>
      <c r="F34" s="4">
        <v>65000</v>
      </c>
      <c r="G34" s="2">
        <v>11</v>
      </c>
      <c r="H34" s="2">
        <v>5</v>
      </c>
      <c r="I34" s="2" t="s">
        <v>14</v>
      </c>
      <c r="J34" s="2" t="s">
        <v>25</v>
      </c>
    </row>
    <row r="35" spans="1:10" x14ac:dyDescent="0.3">
      <c r="A35" s="2" t="s">
        <v>91</v>
      </c>
      <c r="B35" s="2" t="s">
        <v>92</v>
      </c>
      <c r="C35" s="2" t="s">
        <v>18</v>
      </c>
      <c r="D35" s="2" t="s">
        <v>23</v>
      </c>
      <c r="E35" s="2">
        <v>27</v>
      </c>
      <c r="F35" s="4">
        <v>42000</v>
      </c>
      <c r="G35" s="2">
        <v>4</v>
      </c>
      <c r="H35" s="2">
        <v>4</v>
      </c>
      <c r="I35" s="2" t="s">
        <v>14</v>
      </c>
      <c r="J35" s="2" t="s">
        <v>20</v>
      </c>
    </row>
    <row r="36" spans="1:10" x14ac:dyDescent="0.3">
      <c r="A36" s="2" t="s">
        <v>93</v>
      </c>
      <c r="B36" s="2" t="s">
        <v>94</v>
      </c>
      <c r="C36" s="2" t="s">
        <v>12</v>
      </c>
      <c r="D36" s="2" t="s">
        <v>28</v>
      </c>
      <c r="E36" s="2">
        <v>33</v>
      </c>
      <c r="F36" s="4">
        <v>59000</v>
      </c>
      <c r="G36" s="2">
        <v>9</v>
      </c>
      <c r="H36" s="2">
        <v>5</v>
      </c>
      <c r="I36" s="2" t="s">
        <v>14</v>
      </c>
      <c r="J36" s="2" t="s">
        <v>35</v>
      </c>
    </row>
    <row r="37" spans="1:10" x14ac:dyDescent="0.3">
      <c r="A37" s="2" t="s">
        <v>95</v>
      </c>
      <c r="B37" s="2" t="s">
        <v>96</v>
      </c>
      <c r="C37" s="2" t="s">
        <v>18</v>
      </c>
      <c r="D37" s="2" t="s">
        <v>34</v>
      </c>
      <c r="E37" s="2">
        <v>28</v>
      </c>
      <c r="F37" s="4">
        <v>45000</v>
      </c>
      <c r="G37" s="2">
        <v>5</v>
      </c>
      <c r="H37" s="2">
        <v>4</v>
      </c>
      <c r="I37" s="2" t="s">
        <v>24</v>
      </c>
      <c r="J37" s="2" t="s">
        <v>29</v>
      </c>
    </row>
    <row r="38" spans="1:10" x14ac:dyDescent="0.3">
      <c r="A38" s="2" t="s">
        <v>97</v>
      </c>
      <c r="B38" s="2" t="s">
        <v>98</v>
      </c>
      <c r="C38" s="2" t="s">
        <v>12</v>
      </c>
      <c r="D38" s="2" t="s">
        <v>19</v>
      </c>
      <c r="E38" s="2">
        <v>29</v>
      </c>
      <c r="F38" s="4">
        <v>47000</v>
      </c>
      <c r="G38" s="2">
        <v>5</v>
      </c>
      <c r="H38" s="2">
        <v>4</v>
      </c>
      <c r="I38" s="2" t="s">
        <v>14</v>
      </c>
      <c r="J38" s="2" t="s">
        <v>38</v>
      </c>
    </row>
    <row r="39" spans="1:10" x14ac:dyDescent="0.3">
      <c r="A39" s="2" t="s">
        <v>99</v>
      </c>
      <c r="B39" s="2" t="s">
        <v>100</v>
      </c>
      <c r="C39" s="2" t="s">
        <v>18</v>
      </c>
      <c r="D39" s="2" t="s">
        <v>13</v>
      </c>
      <c r="E39" s="2">
        <v>24</v>
      </c>
      <c r="F39" s="4">
        <v>35000</v>
      </c>
      <c r="G39" s="2">
        <v>2</v>
      </c>
      <c r="H39" s="2">
        <v>3</v>
      </c>
      <c r="I39" s="2" t="s">
        <v>14</v>
      </c>
      <c r="J39" s="2" t="s">
        <v>15</v>
      </c>
    </row>
    <row r="40" spans="1:10" x14ac:dyDescent="0.3">
      <c r="A40" s="2" t="s">
        <v>101</v>
      </c>
      <c r="B40" s="2" t="s">
        <v>102</v>
      </c>
      <c r="C40" s="2" t="s">
        <v>12</v>
      </c>
      <c r="D40" s="2" t="s">
        <v>23</v>
      </c>
      <c r="E40" s="2">
        <v>31</v>
      </c>
      <c r="F40" s="4">
        <v>52000</v>
      </c>
      <c r="G40" s="2">
        <v>7</v>
      </c>
      <c r="H40" s="2">
        <v>5</v>
      </c>
      <c r="I40" s="2" t="s">
        <v>14</v>
      </c>
      <c r="J40" s="2" t="s">
        <v>25</v>
      </c>
    </row>
    <row r="41" spans="1:10" x14ac:dyDescent="0.3">
      <c r="A41" s="2" t="s">
        <v>103</v>
      </c>
      <c r="B41" s="2" t="s">
        <v>104</v>
      </c>
      <c r="C41" s="2" t="s">
        <v>18</v>
      </c>
      <c r="D41" s="2" t="s">
        <v>28</v>
      </c>
      <c r="E41" s="2">
        <v>30</v>
      </c>
      <c r="F41" s="4">
        <v>54000</v>
      </c>
      <c r="G41" s="2">
        <v>7</v>
      </c>
      <c r="H41" s="2">
        <v>4</v>
      </c>
      <c r="I41" s="2" t="s">
        <v>24</v>
      </c>
      <c r="J41" s="2" t="s">
        <v>20</v>
      </c>
    </row>
    <row r="42" spans="1:10" x14ac:dyDescent="0.3">
      <c r="A42" s="2" t="s">
        <v>105</v>
      </c>
      <c r="B42" s="2" t="s">
        <v>106</v>
      </c>
      <c r="C42" s="2" t="s">
        <v>12</v>
      </c>
      <c r="D42" s="2" t="s">
        <v>34</v>
      </c>
      <c r="E42" s="2">
        <v>27</v>
      </c>
      <c r="F42" s="4">
        <v>41000</v>
      </c>
      <c r="G42" s="2">
        <v>3</v>
      </c>
      <c r="H42" s="2">
        <v>4</v>
      </c>
      <c r="I42" s="2" t="s">
        <v>14</v>
      </c>
      <c r="J42" s="2" t="s">
        <v>35</v>
      </c>
    </row>
    <row r="43" spans="1:10" x14ac:dyDescent="0.3">
      <c r="A43" s="2" t="s">
        <v>107</v>
      </c>
      <c r="B43" s="2" t="s">
        <v>108</v>
      </c>
      <c r="C43" s="2" t="s">
        <v>18</v>
      </c>
      <c r="D43" s="2" t="s">
        <v>19</v>
      </c>
      <c r="E43" s="2">
        <v>26</v>
      </c>
      <c r="F43" s="4">
        <v>39000</v>
      </c>
      <c r="G43" s="2">
        <v>3</v>
      </c>
      <c r="H43" s="2">
        <v>4</v>
      </c>
      <c r="I43" s="2" t="s">
        <v>14</v>
      </c>
      <c r="J43" s="2" t="s">
        <v>29</v>
      </c>
    </row>
    <row r="44" spans="1:10" x14ac:dyDescent="0.3">
      <c r="A44" s="2" t="s">
        <v>109</v>
      </c>
      <c r="B44" s="2" t="s">
        <v>110</v>
      </c>
      <c r="C44" s="2" t="s">
        <v>12</v>
      </c>
      <c r="D44" s="2" t="s">
        <v>13</v>
      </c>
      <c r="E44" s="2">
        <v>35</v>
      </c>
      <c r="F44" s="4">
        <v>70000</v>
      </c>
      <c r="G44" s="2">
        <v>13</v>
      </c>
      <c r="H44" s="2">
        <v>5</v>
      </c>
      <c r="I44" s="2" t="s">
        <v>14</v>
      </c>
      <c r="J44" s="2" t="s">
        <v>38</v>
      </c>
    </row>
    <row r="45" spans="1:10" x14ac:dyDescent="0.3">
      <c r="A45" s="2" t="s">
        <v>111</v>
      </c>
      <c r="B45" s="2" t="s">
        <v>112</v>
      </c>
      <c r="C45" s="2" t="s">
        <v>18</v>
      </c>
      <c r="D45" s="2" t="s">
        <v>23</v>
      </c>
      <c r="E45" s="2">
        <v>28</v>
      </c>
      <c r="F45" s="4">
        <v>44000</v>
      </c>
      <c r="G45" s="2">
        <v>5</v>
      </c>
      <c r="H45" s="2">
        <v>4</v>
      </c>
      <c r="I45" s="2" t="s">
        <v>24</v>
      </c>
      <c r="J45" s="2" t="s">
        <v>15</v>
      </c>
    </row>
    <row r="46" spans="1:10" x14ac:dyDescent="0.3">
      <c r="A46" s="2" t="s">
        <v>113</v>
      </c>
      <c r="B46" s="2" t="s">
        <v>114</v>
      </c>
      <c r="C46" s="2" t="s">
        <v>12</v>
      </c>
      <c r="D46" s="2" t="s">
        <v>28</v>
      </c>
      <c r="E46" s="2">
        <v>32</v>
      </c>
      <c r="F46" s="4">
        <v>57000</v>
      </c>
      <c r="G46" s="2">
        <v>8</v>
      </c>
      <c r="H46" s="2">
        <v>5</v>
      </c>
      <c r="I46" s="2" t="s">
        <v>14</v>
      </c>
      <c r="J46" s="2" t="s">
        <v>25</v>
      </c>
    </row>
    <row r="47" spans="1:10" x14ac:dyDescent="0.3">
      <c r="A47" s="2" t="s">
        <v>115</v>
      </c>
      <c r="B47" s="2" t="s">
        <v>116</v>
      </c>
      <c r="C47" s="2" t="s">
        <v>18</v>
      </c>
      <c r="D47" s="2" t="s">
        <v>34</v>
      </c>
      <c r="E47" s="2">
        <v>25</v>
      </c>
      <c r="F47" s="4">
        <v>38000</v>
      </c>
      <c r="G47" s="2">
        <v>2</v>
      </c>
      <c r="H47" s="2">
        <v>3</v>
      </c>
      <c r="I47" s="2" t="s">
        <v>14</v>
      </c>
      <c r="J47" s="2" t="s">
        <v>20</v>
      </c>
    </row>
    <row r="48" spans="1:10" x14ac:dyDescent="0.3">
      <c r="A48" s="2" t="s">
        <v>117</v>
      </c>
      <c r="B48" s="2" t="s">
        <v>118</v>
      </c>
      <c r="C48" s="2" t="s">
        <v>12</v>
      </c>
      <c r="D48" s="2" t="s">
        <v>19</v>
      </c>
      <c r="E48" s="2">
        <v>30</v>
      </c>
      <c r="F48" s="4">
        <v>51000</v>
      </c>
      <c r="G48" s="2">
        <v>6</v>
      </c>
      <c r="H48" s="2">
        <v>5</v>
      </c>
      <c r="I48" s="2" t="s">
        <v>14</v>
      </c>
      <c r="J48" s="2" t="s">
        <v>35</v>
      </c>
    </row>
    <row r="49" spans="1:10" x14ac:dyDescent="0.3">
      <c r="A49" s="2" t="s">
        <v>119</v>
      </c>
      <c r="B49" s="2" t="s">
        <v>120</v>
      </c>
      <c r="C49" s="2" t="s">
        <v>18</v>
      </c>
      <c r="D49" s="2" t="s">
        <v>13</v>
      </c>
      <c r="E49" s="2">
        <v>29</v>
      </c>
      <c r="F49" s="4">
        <v>47000</v>
      </c>
      <c r="G49" s="2">
        <v>5</v>
      </c>
      <c r="H49" s="2">
        <v>4</v>
      </c>
      <c r="I49" s="2" t="s">
        <v>24</v>
      </c>
      <c r="J49" s="2" t="s">
        <v>29</v>
      </c>
    </row>
    <row r="50" spans="1:10" x14ac:dyDescent="0.3">
      <c r="A50" s="2" t="s">
        <v>121</v>
      </c>
      <c r="B50" s="2" t="s">
        <v>122</v>
      </c>
      <c r="C50" s="2" t="s">
        <v>12</v>
      </c>
      <c r="D50" s="2" t="s">
        <v>23</v>
      </c>
      <c r="E50" s="2">
        <v>33</v>
      </c>
      <c r="F50" s="4">
        <v>56000</v>
      </c>
      <c r="G50" s="2">
        <v>8</v>
      </c>
      <c r="H50" s="2">
        <v>5</v>
      </c>
      <c r="I50" s="2" t="s">
        <v>14</v>
      </c>
      <c r="J50" s="2" t="s">
        <v>38</v>
      </c>
    </row>
    <row r="51" spans="1:10" x14ac:dyDescent="0.3">
      <c r="A51" s="2" t="s">
        <v>123</v>
      </c>
      <c r="B51" s="2" t="s">
        <v>124</v>
      </c>
      <c r="C51" s="2" t="s">
        <v>18</v>
      </c>
      <c r="D51" s="2" t="s">
        <v>28</v>
      </c>
      <c r="E51" s="2">
        <v>27</v>
      </c>
      <c r="F51" s="4">
        <v>45000</v>
      </c>
      <c r="G51" s="2">
        <v>4</v>
      </c>
      <c r="H51" s="2">
        <v>4</v>
      </c>
      <c r="I51" s="2" t="s">
        <v>14</v>
      </c>
      <c r="J51" s="2" t="s">
        <v>15</v>
      </c>
    </row>
    <row r="52" spans="1:10" x14ac:dyDescent="0.3">
      <c r="A52" s="2" t="s">
        <v>125</v>
      </c>
      <c r="B52" s="2" t="s">
        <v>126</v>
      </c>
      <c r="C52" s="2" t="s">
        <v>12</v>
      </c>
      <c r="D52" s="2" t="s">
        <v>13</v>
      </c>
      <c r="E52" s="2">
        <v>26</v>
      </c>
      <c r="F52" s="4">
        <v>40000</v>
      </c>
      <c r="G52" s="2">
        <v>3</v>
      </c>
      <c r="H52" s="2">
        <v>4</v>
      </c>
      <c r="I52" s="2" t="s">
        <v>14</v>
      </c>
      <c r="J52" s="2" t="s">
        <v>20</v>
      </c>
    </row>
    <row r="53" spans="1:10" x14ac:dyDescent="0.3">
      <c r="A53" s="2" t="s">
        <v>127</v>
      </c>
      <c r="B53" s="2" t="s">
        <v>128</v>
      </c>
      <c r="C53" s="2" t="s">
        <v>18</v>
      </c>
      <c r="D53" s="2" t="s">
        <v>19</v>
      </c>
      <c r="E53" s="2">
        <v>28</v>
      </c>
      <c r="F53" s="4">
        <v>43000</v>
      </c>
      <c r="G53" s="2">
        <v>4</v>
      </c>
      <c r="H53" s="2">
        <v>4</v>
      </c>
      <c r="I53" s="2" t="s">
        <v>14</v>
      </c>
      <c r="J53" s="2" t="s">
        <v>25</v>
      </c>
    </row>
    <row r="54" spans="1:10" x14ac:dyDescent="0.3">
      <c r="A54" s="2" t="s">
        <v>129</v>
      </c>
      <c r="B54" s="2" t="s">
        <v>130</v>
      </c>
      <c r="C54" s="2" t="s">
        <v>12</v>
      </c>
      <c r="D54" s="2" t="s">
        <v>34</v>
      </c>
      <c r="E54" s="2">
        <v>31</v>
      </c>
      <c r="F54" s="4">
        <v>51000</v>
      </c>
      <c r="G54" s="2">
        <v>7</v>
      </c>
      <c r="H54" s="2">
        <v>5</v>
      </c>
      <c r="I54" s="2" t="s">
        <v>24</v>
      </c>
      <c r="J54" s="2" t="s">
        <v>35</v>
      </c>
    </row>
    <row r="55" spans="1:10" x14ac:dyDescent="0.3">
      <c r="A55" s="2" t="s">
        <v>131</v>
      </c>
      <c r="B55" s="2" t="s">
        <v>132</v>
      </c>
      <c r="C55" s="2" t="s">
        <v>18</v>
      </c>
      <c r="D55" s="2" t="s">
        <v>23</v>
      </c>
      <c r="E55" s="2">
        <v>24</v>
      </c>
      <c r="F55" s="4">
        <v>36000</v>
      </c>
      <c r="G55" s="2">
        <v>2</v>
      </c>
      <c r="H55" s="2">
        <v>3</v>
      </c>
      <c r="I55" s="2" t="s">
        <v>14</v>
      </c>
      <c r="J55" s="2" t="s">
        <v>29</v>
      </c>
    </row>
    <row r="56" spans="1:10" x14ac:dyDescent="0.3">
      <c r="A56" s="2" t="s">
        <v>133</v>
      </c>
      <c r="B56" s="2" t="s">
        <v>134</v>
      </c>
      <c r="C56" s="2" t="s">
        <v>12</v>
      </c>
      <c r="D56" s="2" t="s">
        <v>28</v>
      </c>
      <c r="E56" s="2">
        <v>35</v>
      </c>
      <c r="F56" s="4">
        <v>65000</v>
      </c>
      <c r="G56" s="2">
        <v>11</v>
      </c>
      <c r="H56" s="2">
        <v>5</v>
      </c>
      <c r="I56" s="2" t="s">
        <v>14</v>
      </c>
      <c r="J56" s="2" t="s">
        <v>38</v>
      </c>
    </row>
    <row r="57" spans="1:10" x14ac:dyDescent="0.3">
      <c r="A57" s="2" t="s">
        <v>135</v>
      </c>
      <c r="B57" s="2" t="s">
        <v>136</v>
      </c>
      <c r="C57" s="2" t="s">
        <v>18</v>
      </c>
      <c r="D57" s="2" t="s">
        <v>13</v>
      </c>
      <c r="E57" s="2">
        <v>27</v>
      </c>
      <c r="F57" s="4">
        <v>44000</v>
      </c>
      <c r="G57" s="2">
        <v>4</v>
      </c>
      <c r="H57" s="2">
        <v>4</v>
      </c>
      <c r="I57" s="2" t="s">
        <v>24</v>
      </c>
      <c r="J57" s="2" t="s">
        <v>15</v>
      </c>
    </row>
    <row r="58" spans="1:10" x14ac:dyDescent="0.3">
      <c r="A58" s="2" t="s">
        <v>137</v>
      </c>
      <c r="B58" s="2" t="s">
        <v>138</v>
      </c>
      <c r="C58" s="2" t="s">
        <v>12</v>
      </c>
      <c r="D58" s="2" t="s">
        <v>19</v>
      </c>
      <c r="E58" s="2">
        <v>29</v>
      </c>
      <c r="F58" s="4">
        <v>46000</v>
      </c>
      <c r="G58" s="2">
        <v>5</v>
      </c>
      <c r="H58" s="2">
        <v>5</v>
      </c>
      <c r="I58" s="2" t="s">
        <v>14</v>
      </c>
      <c r="J58" s="2" t="s">
        <v>20</v>
      </c>
    </row>
    <row r="59" spans="1:10" x14ac:dyDescent="0.3">
      <c r="A59" s="2" t="s">
        <v>139</v>
      </c>
      <c r="B59" s="2" t="s">
        <v>140</v>
      </c>
      <c r="C59" s="2" t="s">
        <v>18</v>
      </c>
      <c r="D59" s="2" t="s">
        <v>34</v>
      </c>
      <c r="E59" s="2">
        <v>30</v>
      </c>
      <c r="F59" s="4">
        <v>50000</v>
      </c>
      <c r="G59" s="2">
        <v>6</v>
      </c>
      <c r="H59" s="2">
        <v>4</v>
      </c>
      <c r="I59" s="2" t="s">
        <v>14</v>
      </c>
      <c r="J59" s="2" t="s">
        <v>25</v>
      </c>
    </row>
    <row r="60" spans="1:10" x14ac:dyDescent="0.3">
      <c r="A60" s="2" t="s">
        <v>141</v>
      </c>
      <c r="B60" s="2" t="s">
        <v>142</v>
      </c>
      <c r="C60" s="2" t="s">
        <v>12</v>
      </c>
      <c r="D60" s="2" t="s">
        <v>23</v>
      </c>
      <c r="E60" s="2">
        <v>28</v>
      </c>
      <c r="F60" s="4">
        <v>42000</v>
      </c>
      <c r="G60" s="2">
        <v>4</v>
      </c>
      <c r="H60" s="2">
        <v>4</v>
      </c>
      <c r="I60" s="2" t="s">
        <v>14</v>
      </c>
      <c r="J60" s="2" t="s">
        <v>35</v>
      </c>
    </row>
    <row r="61" spans="1:10" x14ac:dyDescent="0.3">
      <c r="A61" s="2" t="s">
        <v>143</v>
      </c>
      <c r="B61" s="2" t="s">
        <v>144</v>
      </c>
      <c r="C61" s="2" t="s">
        <v>18</v>
      </c>
      <c r="D61" s="2" t="s">
        <v>28</v>
      </c>
      <c r="E61" s="2">
        <v>32</v>
      </c>
      <c r="F61" s="4">
        <v>58000</v>
      </c>
      <c r="G61" s="2">
        <v>8</v>
      </c>
      <c r="H61" s="2">
        <v>5</v>
      </c>
      <c r="I61" s="2" t="s">
        <v>24</v>
      </c>
      <c r="J61" s="2" t="s">
        <v>29</v>
      </c>
    </row>
    <row r="62" spans="1:10" x14ac:dyDescent="0.3">
      <c r="A62" s="2" t="s">
        <v>145</v>
      </c>
      <c r="B62" s="2" t="s">
        <v>146</v>
      </c>
      <c r="C62" s="2" t="s">
        <v>12</v>
      </c>
      <c r="D62" s="2" t="s">
        <v>13</v>
      </c>
      <c r="E62" s="2">
        <v>25</v>
      </c>
      <c r="F62" s="4">
        <v>37000</v>
      </c>
      <c r="G62" s="2">
        <v>2</v>
      </c>
      <c r="H62" s="2">
        <v>3</v>
      </c>
      <c r="I62" s="2" t="s">
        <v>14</v>
      </c>
      <c r="J62" s="2" t="s">
        <v>38</v>
      </c>
    </row>
    <row r="63" spans="1:10" x14ac:dyDescent="0.3">
      <c r="A63" s="2" t="s">
        <v>147</v>
      </c>
      <c r="B63" s="2" t="s">
        <v>148</v>
      </c>
      <c r="C63" s="2" t="s">
        <v>18</v>
      </c>
      <c r="D63" s="2" t="s">
        <v>19</v>
      </c>
      <c r="E63" s="2">
        <v>27</v>
      </c>
      <c r="F63" s="4">
        <v>42000</v>
      </c>
      <c r="G63" s="2">
        <v>4</v>
      </c>
      <c r="H63" s="2">
        <v>4</v>
      </c>
      <c r="I63" s="2" t="s">
        <v>14</v>
      </c>
      <c r="J63" s="2" t="s">
        <v>15</v>
      </c>
    </row>
    <row r="64" spans="1:10" x14ac:dyDescent="0.3">
      <c r="A64" s="2" t="s">
        <v>149</v>
      </c>
      <c r="B64" s="2" t="s">
        <v>150</v>
      </c>
      <c r="C64" s="2" t="s">
        <v>12</v>
      </c>
      <c r="D64" s="2" t="s">
        <v>34</v>
      </c>
      <c r="E64" s="2">
        <v>34</v>
      </c>
      <c r="F64" s="4">
        <v>62000</v>
      </c>
      <c r="G64" s="2">
        <v>10</v>
      </c>
      <c r="H64" s="2">
        <v>5</v>
      </c>
      <c r="I64" s="2" t="s">
        <v>14</v>
      </c>
      <c r="J64" s="2" t="s">
        <v>20</v>
      </c>
    </row>
    <row r="65" spans="1:10" x14ac:dyDescent="0.3">
      <c r="A65" s="2" t="s">
        <v>151</v>
      </c>
      <c r="B65" s="2" t="s">
        <v>152</v>
      </c>
      <c r="C65" s="2" t="s">
        <v>18</v>
      </c>
      <c r="D65" s="2" t="s">
        <v>23</v>
      </c>
      <c r="E65" s="2">
        <v>26</v>
      </c>
      <c r="F65" s="4">
        <v>39000</v>
      </c>
      <c r="G65" s="2">
        <v>3</v>
      </c>
      <c r="H65" s="2">
        <v>3</v>
      </c>
      <c r="I65" s="2" t="s">
        <v>24</v>
      </c>
      <c r="J65" s="2" t="s">
        <v>25</v>
      </c>
    </row>
    <row r="66" spans="1:10" x14ac:dyDescent="0.3">
      <c r="A66" s="2" t="s">
        <v>153</v>
      </c>
      <c r="B66" s="2" t="s">
        <v>154</v>
      </c>
      <c r="C66" s="2" t="s">
        <v>12</v>
      </c>
      <c r="D66" s="2" t="s">
        <v>28</v>
      </c>
      <c r="E66" s="2">
        <v>31</v>
      </c>
      <c r="F66" s="4">
        <v>55000</v>
      </c>
      <c r="G66" s="2">
        <v>7</v>
      </c>
      <c r="H66" s="2">
        <v>4</v>
      </c>
      <c r="I66" s="2" t="s">
        <v>14</v>
      </c>
      <c r="J66" s="2" t="s">
        <v>35</v>
      </c>
    </row>
    <row r="67" spans="1:10" x14ac:dyDescent="0.3">
      <c r="A67" s="2" t="s">
        <v>155</v>
      </c>
      <c r="B67" s="2" t="s">
        <v>156</v>
      </c>
      <c r="C67" s="2" t="s">
        <v>18</v>
      </c>
      <c r="D67" s="2" t="s">
        <v>13</v>
      </c>
      <c r="E67" s="2">
        <v>29</v>
      </c>
      <c r="F67" s="4">
        <v>48000</v>
      </c>
      <c r="G67" s="2">
        <v>5</v>
      </c>
      <c r="H67" s="2">
        <v>4</v>
      </c>
      <c r="I67" s="2" t="s">
        <v>14</v>
      </c>
      <c r="J67" s="2" t="s">
        <v>29</v>
      </c>
    </row>
    <row r="68" spans="1:10" x14ac:dyDescent="0.3">
      <c r="A68" s="2" t="s">
        <v>157</v>
      </c>
      <c r="B68" s="2" t="s">
        <v>158</v>
      </c>
      <c r="C68" s="2" t="s">
        <v>12</v>
      </c>
      <c r="D68" s="2" t="s">
        <v>19</v>
      </c>
      <c r="E68" s="2">
        <v>33</v>
      </c>
      <c r="F68" s="4">
        <v>56000</v>
      </c>
      <c r="G68" s="2">
        <v>8</v>
      </c>
      <c r="H68" s="2">
        <v>5</v>
      </c>
      <c r="I68" s="2" t="s">
        <v>14</v>
      </c>
      <c r="J68" s="2" t="s">
        <v>38</v>
      </c>
    </row>
    <row r="69" spans="1:10" x14ac:dyDescent="0.3">
      <c r="A69" s="2" t="s">
        <v>159</v>
      </c>
      <c r="B69" s="2" t="s">
        <v>160</v>
      </c>
      <c r="C69" s="2" t="s">
        <v>18</v>
      </c>
      <c r="D69" s="2" t="s">
        <v>34</v>
      </c>
      <c r="E69" s="2">
        <v>28</v>
      </c>
      <c r="F69" s="4">
        <v>45000</v>
      </c>
      <c r="G69" s="2">
        <v>5</v>
      </c>
      <c r="H69" s="2">
        <v>4</v>
      </c>
      <c r="I69" s="2" t="s">
        <v>24</v>
      </c>
      <c r="J69" s="2" t="s">
        <v>15</v>
      </c>
    </row>
    <row r="70" spans="1:10" x14ac:dyDescent="0.3">
      <c r="A70" s="2" t="s">
        <v>161</v>
      </c>
      <c r="B70" s="2" t="s">
        <v>162</v>
      </c>
      <c r="C70" s="2" t="s">
        <v>12</v>
      </c>
      <c r="D70" s="2" t="s">
        <v>23</v>
      </c>
      <c r="E70" s="2">
        <v>30</v>
      </c>
      <c r="F70" s="4">
        <v>50000</v>
      </c>
      <c r="G70" s="2">
        <v>6</v>
      </c>
      <c r="H70" s="2">
        <v>5</v>
      </c>
      <c r="I70" s="2" t="s">
        <v>14</v>
      </c>
      <c r="J70" s="2" t="s">
        <v>20</v>
      </c>
    </row>
    <row r="71" spans="1:10" x14ac:dyDescent="0.3">
      <c r="A71" s="2" t="s">
        <v>163</v>
      </c>
      <c r="B71" s="2" t="s">
        <v>164</v>
      </c>
      <c r="C71" s="2" t="s">
        <v>18</v>
      </c>
      <c r="D71" s="2" t="s">
        <v>28</v>
      </c>
      <c r="E71" s="2">
        <v>27</v>
      </c>
      <c r="F71" s="4">
        <v>46000</v>
      </c>
      <c r="G71" s="2">
        <v>4</v>
      </c>
      <c r="H71" s="2">
        <v>4</v>
      </c>
      <c r="I71" s="2" t="s">
        <v>14</v>
      </c>
      <c r="J71" s="2" t="s">
        <v>25</v>
      </c>
    </row>
    <row r="72" spans="1:10" x14ac:dyDescent="0.3">
      <c r="A72" s="2" t="s">
        <v>165</v>
      </c>
      <c r="B72" s="2" t="s">
        <v>166</v>
      </c>
      <c r="C72" s="2" t="s">
        <v>12</v>
      </c>
      <c r="D72" s="2" t="s">
        <v>13</v>
      </c>
      <c r="E72" s="2">
        <v>32</v>
      </c>
      <c r="F72" s="4">
        <v>59000</v>
      </c>
      <c r="G72" s="2">
        <v>8</v>
      </c>
      <c r="H72" s="2">
        <v>5</v>
      </c>
      <c r="I72" s="2" t="s">
        <v>14</v>
      </c>
      <c r="J72" s="2" t="s">
        <v>35</v>
      </c>
    </row>
    <row r="73" spans="1:10" x14ac:dyDescent="0.3">
      <c r="A73" s="2" t="s">
        <v>167</v>
      </c>
      <c r="B73" s="2" t="s">
        <v>168</v>
      </c>
      <c r="C73" s="2" t="s">
        <v>18</v>
      </c>
      <c r="D73" s="2" t="s">
        <v>19</v>
      </c>
      <c r="E73" s="2">
        <v>25</v>
      </c>
      <c r="F73" s="4">
        <v>38000</v>
      </c>
      <c r="G73" s="2">
        <v>2</v>
      </c>
      <c r="H73" s="2">
        <v>3</v>
      </c>
      <c r="I73" s="2" t="s">
        <v>24</v>
      </c>
      <c r="J73" s="2" t="s">
        <v>29</v>
      </c>
    </row>
    <row r="74" spans="1:10" x14ac:dyDescent="0.3">
      <c r="A74" s="2" t="s">
        <v>169</v>
      </c>
      <c r="B74" s="2" t="s">
        <v>170</v>
      </c>
      <c r="C74" s="2" t="s">
        <v>12</v>
      </c>
      <c r="D74" s="2" t="s">
        <v>34</v>
      </c>
      <c r="E74" s="2">
        <v>29</v>
      </c>
      <c r="F74" s="4">
        <v>47000</v>
      </c>
      <c r="G74" s="2">
        <v>5</v>
      </c>
      <c r="H74" s="2">
        <v>4</v>
      </c>
      <c r="I74" s="2" t="s">
        <v>14</v>
      </c>
      <c r="J74" s="2" t="s">
        <v>38</v>
      </c>
    </row>
    <row r="75" spans="1:10" x14ac:dyDescent="0.3">
      <c r="A75" s="2" t="s">
        <v>171</v>
      </c>
      <c r="B75" s="2" t="s">
        <v>172</v>
      </c>
      <c r="C75" s="2" t="s">
        <v>18</v>
      </c>
      <c r="D75" s="2" t="s">
        <v>23</v>
      </c>
      <c r="E75" s="2">
        <v>24</v>
      </c>
      <c r="F75" s="4">
        <v>35000</v>
      </c>
      <c r="G75" s="2">
        <v>2</v>
      </c>
      <c r="H75" s="2">
        <v>3</v>
      </c>
      <c r="I75" s="2" t="s">
        <v>14</v>
      </c>
      <c r="J75" s="2" t="s">
        <v>15</v>
      </c>
    </row>
    <row r="76" spans="1:10" x14ac:dyDescent="0.3">
      <c r="A76" s="2" t="s">
        <v>173</v>
      </c>
      <c r="B76" s="2" t="s">
        <v>174</v>
      </c>
      <c r="C76" s="2" t="s">
        <v>12</v>
      </c>
      <c r="D76" s="2" t="s">
        <v>28</v>
      </c>
      <c r="E76" s="2">
        <v>36</v>
      </c>
      <c r="F76" s="4">
        <v>69000</v>
      </c>
      <c r="G76" s="2">
        <v>12</v>
      </c>
      <c r="H76" s="2">
        <v>5</v>
      </c>
      <c r="I76" s="2" t="s">
        <v>14</v>
      </c>
      <c r="J76" s="2" t="s">
        <v>20</v>
      </c>
    </row>
    <row r="77" spans="1:10" x14ac:dyDescent="0.3">
      <c r="A77" s="2" t="s">
        <v>175</v>
      </c>
      <c r="B77" s="2" t="s">
        <v>176</v>
      </c>
      <c r="C77" s="2" t="s">
        <v>18</v>
      </c>
      <c r="D77" s="2" t="s">
        <v>13</v>
      </c>
      <c r="E77" s="2">
        <v>28</v>
      </c>
      <c r="F77" s="4">
        <v>45000</v>
      </c>
      <c r="G77" s="2">
        <v>5</v>
      </c>
      <c r="H77" s="2">
        <v>4</v>
      </c>
      <c r="I77" s="2" t="s">
        <v>24</v>
      </c>
      <c r="J77" s="2" t="s">
        <v>25</v>
      </c>
    </row>
    <row r="78" spans="1:10" x14ac:dyDescent="0.3">
      <c r="A78" s="2" t="s">
        <v>177</v>
      </c>
      <c r="B78" s="2" t="s">
        <v>178</v>
      </c>
      <c r="C78" s="2" t="s">
        <v>12</v>
      </c>
      <c r="D78" s="2" t="s">
        <v>19</v>
      </c>
      <c r="E78" s="2">
        <v>31</v>
      </c>
      <c r="F78" s="4">
        <v>52000</v>
      </c>
      <c r="G78" s="2">
        <v>7</v>
      </c>
      <c r="H78" s="2">
        <v>5</v>
      </c>
      <c r="I78" s="2" t="s">
        <v>14</v>
      </c>
      <c r="J78" s="2" t="s">
        <v>35</v>
      </c>
    </row>
    <row r="79" spans="1:10" x14ac:dyDescent="0.3">
      <c r="A79" s="2" t="s">
        <v>179</v>
      </c>
      <c r="B79" s="2" t="s">
        <v>180</v>
      </c>
      <c r="C79" s="2" t="s">
        <v>18</v>
      </c>
      <c r="D79" s="2" t="s">
        <v>34</v>
      </c>
      <c r="E79" s="2">
        <v>27</v>
      </c>
      <c r="F79" s="4">
        <v>43000</v>
      </c>
      <c r="G79" s="2">
        <v>4</v>
      </c>
      <c r="H79" s="2">
        <v>4</v>
      </c>
      <c r="I79" s="2" t="s">
        <v>14</v>
      </c>
      <c r="J79" s="2" t="s">
        <v>29</v>
      </c>
    </row>
    <row r="80" spans="1:10" x14ac:dyDescent="0.3">
      <c r="A80" s="2" t="s">
        <v>181</v>
      </c>
      <c r="B80" s="2" t="s">
        <v>182</v>
      </c>
      <c r="C80" s="2" t="s">
        <v>12</v>
      </c>
      <c r="D80" s="2" t="s">
        <v>23</v>
      </c>
      <c r="E80" s="2">
        <v>29</v>
      </c>
      <c r="F80" s="4">
        <v>47000</v>
      </c>
      <c r="G80" s="2">
        <v>5</v>
      </c>
      <c r="H80" s="2">
        <v>4</v>
      </c>
      <c r="I80" s="2" t="s">
        <v>14</v>
      </c>
      <c r="J80" s="2" t="s">
        <v>38</v>
      </c>
    </row>
    <row r="81" spans="1:10" x14ac:dyDescent="0.3">
      <c r="A81" s="2" t="s">
        <v>183</v>
      </c>
      <c r="B81" s="2" t="s">
        <v>184</v>
      </c>
      <c r="C81" s="2" t="s">
        <v>18</v>
      </c>
      <c r="D81" s="2" t="s">
        <v>28</v>
      </c>
      <c r="E81" s="2">
        <v>30</v>
      </c>
      <c r="F81" s="4">
        <v>54000</v>
      </c>
      <c r="G81" s="2">
        <v>7</v>
      </c>
      <c r="H81" s="2">
        <v>5</v>
      </c>
      <c r="I81" s="2" t="s">
        <v>24</v>
      </c>
      <c r="J81" s="2" t="s">
        <v>15</v>
      </c>
    </row>
    <row r="82" spans="1:10" x14ac:dyDescent="0.3">
      <c r="A82" s="2" t="s">
        <v>185</v>
      </c>
      <c r="B82" s="2" t="s">
        <v>186</v>
      </c>
      <c r="C82" s="2" t="s">
        <v>12</v>
      </c>
      <c r="D82" s="2" t="s">
        <v>13</v>
      </c>
      <c r="E82" s="2">
        <v>26</v>
      </c>
      <c r="F82" s="4">
        <v>41000</v>
      </c>
      <c r="G82" s="2">
        <v>3</v>
      </c>
      <c r="H82" s="2">
        <v>4</v>
      </c>
      <c r="I82" s="2" t="s">
        <v>14</v>
      </c>
      <c r="J82" s="2" t="s">
        <v>20</v>
      </c>
    </row>
    <row r="83" spans="1:10" x14ac:dyDescent="0.3">
      <c r="A83" s="2" t="s">
        <v>187</v>
      </c>
      <c r="B83" s="2" t="s">
        <v>188</v>
      </c>
      <c r="C83" s="2" t="s">
        <v>18</v>
      </c>
      <c r="D83" s="2" t="s">
        <v>19</v>
      </c>
      <c r="E83" s="2">
        <v>28</v>
      </c>
      <c r="F83" s="4">
        <v>44000</v>
      </c>
      <c r="G83" s="2">
        <v>4</v>
      </c>
      <c r="H83" s="2">
        <v>4</v>
      </c>
      <c r="I83" s="2" t="s">
        <v>14</v>
      </c>
      <c r="J83" s="2" t="s">
        <v>25</v>
      </c>
    </row>
    <row r="84" spans="1:10" x14ac:dyDescent="0.3">
      <c r="A84" s="2" t="s">
        <v>189</v>
      </c>
      <c r="B84" s="2" t="s">
        <v>190</v>
      </c>
      <c r="C84" s="2" t="s">
        <v>12</v>
      </c>
      <c r="D84" s="2" t="s">
        <v>34</v>
      </c>
      <c r="E84" s="2">
        <v>33</v>
      </c>
      <c r="F84" s="4">
        <v>60000</v>
      </c>
      <c r="G84" s="2">
        <v>9</v>
      </c>
      <c r="H84" s="2">
        <v>5</v>
      </c>
      <c r="I84" s="2" t="s">
        <v>14</v>
      </c>
      <c r="J84" s="2" t="s">
        <v>35</v>
      </c>
    </row>
    <row r="85" spans="1:10" x14ac:dyDescent="0.3">
      <c r="A85" s="2" t="s">
        <v>191</v>
      </c>
      <c r="B85" s="2" t="s">
        <v>192</v>
      </c>
      <c r="C85" s="2" t="s">
        <v>18</v>
      </c>
      <c r="D85" s="2" t="s">
        <v>23</v>
      </c>
      <c r="E85" s="2">
        <v>25</v>
      </c>
      <c r="F85" s="4">
        <v>38000</v>
      </c>
      <c r="G85" s="2">
        <v>2</v>
      </c>
      <c r="H85" s="2">
        <v>3</v>
      </c>
      <c r="I85" s="2" t="s">
        <v>24</v>
      </c>
      <c r="J85" s="2" t="s">
        <v>29</v>
      </c>
    </row>
    <row r="86" spans="1:10" x14ac:dyDescent="0.3">
      <c r="A86" s="2" t="s">
        <v>193</v>
      </c>
      <c r="B86" s="2" t="s">
        <v>194</v>
      </c>
      <c r="C86" s="2" t="s">
        <v>12</v>
      </c>
      <c r="D86" s="2" t="s">
        <v>28</v>
      </c>
      <c r="E86" s="2">
        <v>34</v>
      </c>
      <c r="F86" s="4">
        <v>62000</v>
      </c>
      <c r="G86" s="2">
        <v>10</v>
      </c>
      <c r="H86" s="2">
        <v>5</v>
      </c>
      <c r="I86" s="2" t="s">
        <v>14</v>
      </c>
      <c r="J86" s="2" t="s">
        <v>38</v>
      </c>
    </row>
    <row r="87" spans="1:10" x14ac:dyDescent="0.3">
      <c r="A87" s="2" t="s">
        <v>195</v>
      </c>
      <c r="B87" s="2" t="s">
        <v>196</v>
      </c>
      <c r="C87" s="2" t="s">
        <v>18</v>
      </c>
      <c r="D87" s="2" t="s">
        <v>13</v>
      </c>
      <c r="E87" s="2">
        <v>27</v>
      </c>
      <c r="F87" s="4">
        <v>44000</v>
      </c>
      <c r="G87" s="2">
        <v>4</v>
      </c>
      <c r="H87" s="2">
        <v>4</v>
      </c>
      <c r="I87" s="2" t="s">
        <v>14</v>
      </c>
      <c r="J87" s="2" t="s">
        <v>15</v>
      </c>
    </row>
    <row r="88" spans="1:10" x14ac:dyDescent="0.3">
      <c r="A88" s="2" t="s">
        <v>197</v>
      </c>
      <c r="B88" s="2" t="s">
        <v>198</v>
      </c>
      <c r="C88" s="2" t="s">
        <v>12</v>
      </c>
      <c r="D88" s="2" t="s">
        <v>19</v>
      </c>
      <c r="E88" s="2">
        <v>30</v>
      </c>
      <c r="F88" s="4">
        <v>49000</v>
      </c>
      <c r="G88" s="2">
        <v>6</v>
      </c>
      <c r="H88" s="2">
        <v>5</v>
      </c>
      <c r="I88" s="2" t="s">
        <v>14</v>
      </c>
      <c r="J88" s="2" t="s">
        <v>20</v>
      </c>
    </row>
    <row r="89" spans="1:10" x14ac:dyDescent="0.3">
      <c r="A89" s="2" t="s">
        <v>199</v>
      </c>
      <c r="B89" s="2" t="s">
        <v>200</v>
      </c>
      <c r="C89" s="2" t="s">
        <v>18</v>
      </c>
      <c r="D89" s="2" t="s">
        <v>34</v>
      </c>
      <c r="E89" s="2">
        <v>29</v>
      </c>
      <c r="F89" s="4">
        <v>47000</v>
      </c>
      <c r="G89" s="2">
        <v>5</v>
      </c>
      <c r="H89" s="2">
        <v>4</v>
      </c>
      <c r="I89" s="2" t="s">
        <v>24</v>
      </c>
      <c r="J89" s="2" t="s">
        <v>25</v>
      </c>
    </row>
    <row r="90" spans="1:10" x14ac:dyDescent="0.3">
      <c r="A90" s="2" t="s">
        <v>201</v>
      </c>
      <c r="B90" s="2" t="s">
        <v>202</v>
      </c>
      <c r="C90" s="2" t="s">
        <v>12</v>
      </c>
      <c r="D90" s="2" t="s">
        <v>23</v>
      </c>
      <c r="E90" s="2">
        <v>31</v>
      </c>
      <c r="F90" s="4">
        <v>53000</v>
      </c>
      <c r="G90" s="2">
        <v>7</v>
      </c>
      <c r="H90" s="2">
        <v>5</v>
      </c>
      <c r="I90" s="2" t="s">
        <v>14</v>
      </c>
      <c r="J90" s="2" t="s">
        <v>35</v>
      </c>
    </row>
    <row r="91" spans="1:10" ht="28.8" x14ac:dyDescent="0.3">
      <c r="A91" s="2" t="s">
        <v>203</v>
      </c>
      <c r="B91" s="2" t="s">
        <v>204</v>
      </c>
      <c r="C91" s="2" t="s">
        <v>18</v>
      </c>
      <c r="D91" s="2" t="s">
        <v>28</v>
      </c>
      <c r="E91" s="2">
        <v>28</v>
      </c>
      <c r="F91" s="4">
        <v>47000</v>
      </c>
      <c r="G91" s="2">
        <v>5</v>
      </c>
      <c r="H91" s="2">
        <v>4</v>
      </c>
      <c r="I91" s="2" t="s">
        <v>14</v>
      </c>
      <c r="J91" s="2" t="s">
        <v>29</v>
      </c>
    </row>
    <row r="92" spans="1:10" x14ac:dyDescent="0.3">
      <c r="A92" s="2" t="s">
        <v>205</v>
      </c>
      <c r="B92" s="2" t="s">
        <v>206</v>
      </c>
      <c r="C92" s="2" t="s">
        <v>12</v>
      </c>
      <c r="D92" s="2" t="s">
        <v>13</v>
      </c>
      <c r="E92" s="2">
        <v>35</v>
      </c>
      <c r="F92" s="4">
        <v>68000</v>
      </c>
      <c r="G92" s="2">
        <v>12</v>
      </c>
      <c r="H92" s="2">
        <v>5</v>
      </c>
      <c r="I92" s="2" t="s">
        <v>14</v>
      </c>
      <c r="J92" s="2" t="s">
        <v>38</v>
      </c>
    </row>
    <row r="93" spans="1:10" x14ac:dyDescent="0.3">
      <c r="A93" s="2" t="s">
        <v>207</v>
      </c>
      <c r="B93" s="2" t="s">
        <v>208</v>
      </c>
      <c r="C93" s="2" t="s">
        <v>18</v>
      </c>
      <c r="D93" s="2" t="s">
        <v>19</v>
      </c>
      <c r="E93" s="2">
        <v>26</v>
      </c>
      <c r="F93" s="4">
        <v>39000</v>
      </c>
      <c r="G93" s="2">
        <v>3</v>
      </c>
      <c r="H93" s="2">
        <v>3</v>
      </c>
      <c r="I93" s="2" t="s">
        <v>24</v>
      </c>
      <c r="J93" s="2" t="s">
        <v>15</v>
      </c>
    </row>
    <row r="94" spans="1:10" x14ac:dyDescent="0.3">
      <c r="A94" s="2" t="s">
        <v>209</v>
      </c>
      <c r="B94" s="2" t="s">
        <v>210</v>
      </c>
      <c r="C94" s="2" t="s">
        <v>12</v>
      </c>
      <c r="D94" s="2" t="s">
        <v>34</v>
      </c>
      <c r="E94" s="2">
        <v>32</v>
      </c>
      <c r="F94" s="4">
        <v>56000</v>
      </c>
      <c r="G94" s="2">
        <v>8</v>
      </c>
      <c r="H94" s="2">
        <v>5</v>
      </c>
      <c r="I94" s="2" t="s">
        <v>14</v>
      </c>
      <c r="J94" s="2" t="s">
        <v>20</v>
      </c>
    </row>
    <row r="95" spans="1:10" x14ac:dyDescent="0.3">
      <c r="A95" s="2" t="s">
        <v>211</v>
      </c>
      <c r="B95" s="2" t="s">
        <v>212</v>
      </c>
      <c r="C95" s="2" t="s">
        <v>18</v>
      </c>
      <c r="D95" s="2" t="s">
        <v>23</v>
      </c>
      <c r="E95" s="2">
        <v>27</v>
      </c>
      <c r="F95" s="4">
        <v>42000</v>
      </c>
      <c r="G95" s="2">
        <v>4</v>
      </c>
      <c r="H95" s="2">
        <v>4</v>
      </c>
      <c r="I95" s="2" t="s">
        <v>14</v>
      </c>
      <c r="J95" s="2" t="s">
        <v>25</v>
      </c>
    </row>
    <row r="96" spans="1:10" x14ac:dyDescent="0.3">
      <c r="A96" s="2" t="s">
        <v>213</v>
      </c>
      <c r="B96" s="2" t="s">
        <v>214</v>
      </c>
      <c r="C96" s="2" t="s">
        <v>12</v>
      </c>
      <c r="D96" s="2" t="s">
        <v>28</v>
      </c>
      <c r="E96" s="2">
        <v>30</v>
      </c>
      <c r="F96" s="4">
        <v>52000</v>
      </c>
      <c r="G96" s="2">
        <v>6</v>
      </c>
      <c r="H96" s="2">
        <v>5</v>
      </c>
      <c r="I96" s="2" t="s">
        <v>14</v>
      </c>
      <c r="J96" s="2" t="s">
        <v>35</v>
      </c>
    </row>
    <row r="97" spans="1:10" x14ac:dyDescent="0.3">
      <c r="A97" s="2" t="s">
        <v>215</v>
      </c>
      <c r="B97" s="2" t="s">
        <v>216</v>
      </c>
      <c r="C97" s="2" t="s">
        <v>18</v>
      </c>
      <c r="D97" s="2" t="s">
        <v>13</v>
      </c>
      <c r="E97" s="2">
        <v>24</v>
      </c>
      <c r="F97" s="4">
        <v>36000</v>
      </c>
      <c r="G97" s="2">
        <v>2</v>
      </c>
      <c r="H97" s="2">
        <v>3</v>
      </c>
      <c r="I97" s="2" t="s">
        <v>24</v>
      </c>
      <c r="J97" s="2" t="s">
        <v>29</v>
      </c>
    </row>
    <row r="98" spans="1:10" x14ac:dyDescent="0.3">
      <c r="A98" s="2" t="s">
        <v>217</v>
      </c>
      <c r="B98" s="2" t="s">
        <v>218</v>
      </c>
      <c r="C98" s="2" t="s">
        <v>12</v>
      </c>
      <c r="D98" s="2" t="s">
        <v>19</v>
      </c>
      <c r="E98" s="2">
        <v>29</v>
      </c>
      <c r="F98" s="4">
        <v>47000</v>
      </c>
      <c r="G98" s="2">
        <v>5</v>
      </c>
      <c r="H98" s="2">
        <v>4</v>
      </c>
      <c r="I98" s="2" t="s">
        <v>14</v>
      </c>
      <c r="J98" s="2" t="s">
        <v>38</v>
      </c>
    </row>
    <row r="99" spans="1:10" x14ac:dyDescent="0.3">
      <c r="A99" s="2" t="s">
        <v>219</v>
      </c>
      <c r="B99" s="2" t="s">
        <v>220</v>
      </c>
      <c r="C99" s="2" t="s">
        <v>18</v>
      </c>
      <c r="D99" s="2" t="s">
        <v>34</v>
      </c>
      <c r="E99" s="2">
        <v>28</v>
      </c>
      <c r="F99" s="4">
        <v>45000</v>
      </c>
      <c r="G99" s="2">
        <v>5</v>
      </c>
      <c r="H99" s="2">
        <v>4</v>
      </c>
      <c r="I99" s="2" t="s">
        <v>14</v>
      </c>
      <c r="J99" s="2" t="s">
        <v>15</v>
      </c>
    </row>
    <row r="100" spans="1:10" x14ac:dyDescent="0.3">
      <c r="A100" s="2" t="s">
        <v>221</v>
      </c>
      <c r="B100" s="2" t="s">
        <v>222</v>
      </c>
      <c r="C100" s="2" t="s">
        <v>12</v>
      </c>
      <c r="D100" s="2" t="s">
        <v>23</v>
      </c>
      <c r="E100" s="2">
        <v>33</v>
      </c>
      <c r="F100" s="4">
        <v>57000</v>
      </c>
      <c r="G100" s="2">
        <v>9</v>
      </c>
      <c r="H100" s="2">
        <v>5</v>
      </c>
      <c r="I100" s="2" t="s">
        <v>14</v>
      </c>
      <c r="J100" s="2" t="s">
        <v>20</v>
      </c>
    </row>
    <row r="101" spans="1:10" x14ac:dyDescent="0.3">
      <c r="A101" s="2" t="s">
        <v>223</v>
      </c>
      <c r="B101" s="2" t="s">
        <v>224</v>
      </c>
      <c r="C101" s="2" t="s">
        <v>18</v>
      </c>
      <c r="D101" s="2" t="s">
        <v>28</v>
      </c>
      <c r="E101" s="2">
        <v>31</v>
      </c>
      <c r="F101" s="4">
        <v>55000</v>
      </c>
      <c r="G101" s="2">
        <v>7</v>
      </c>
      <c r="H101" s="2">
        <v>5</v>
      </c>
      <c r="I101" s="2" t="s">
        <v>14</v>
      </c>
      <c r="J101" s="2" t="s">
        <v>25</v>
      </c>
    </row>
    <row r="102" spans="1:10" x14ac:dyDescent="0.3">
      <c r="A102" s="2"/>
      <c r="B102" s="2"/>
      <c r="C102" s="2"/>
      <c r="D102" s="2"/>
      <c r="E102" s="2">
        <f>AVERAGE(E2:E101)</f>
        <v>29.02</v>
      </c>
      <c r="F102" s="4"/>
      <c r="G102" s="2"/>
      <c r="H102" s="2">
        <f>AVERAGE(H2:H101)</f>
        <v>4.2</v>
      </c>
      <c r="I102" s="2"/>
      <c r="J102" s="2" t="str" cm="1">
        <f t="array" ref="J102">_xlfn.LET(_xlpm.u,_xlfn.UNIQUE(J2:J101),_xlpm.c,COUNTIF(J2:J101,_xlpm.u),INDEX(_xlpm.u,MATCH(MAX(_xlpm.c),_xlpm.c,0)))</f>
        <v>Hyderabad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96105-79C5-447C-9598-A0CA73E65D4D}">
  <dimension ref="A1:B78"/>
  <sheetViews>
    <sheetView showGridLines="0" topLeftCell="A41" zoomScale="73" workbookViewId="0">
      <selection activeCell="B78" sqref="B78"/>
    </sheetView>
  </sheetViews>
  <sheetFormatPr defaultRowHeight="14.4" x14ac:dyDescent="0.3"/>
  <cols>
    <col min="1" max="1" width="12.5546875" bestFit="1" customWidth="1"/>
    <col min="2" max="2" width="15.77734375" bestFit="1" customWidth="1"/>
    <col min="3" max="3" width="24.44140625" bestFit="1" customWidth="1"/>
  </cols>
  <sheetData>
    <row r="1" spans="1:2" x14ac:dyDescent="0.3">
      <c r="A1" s="6" t="s">
        <v>225</v>
      </c>
      <c r="B1" t="s">
        <v>227</v>
      </c>
    </row>
    <row r="2" spans="1:2" x14ac:dyDescent="0.3">
      <c r="A2" s="7" t="s">
        <v>28</v>
      </c>
      <c r="B2" s="8">
        <v>20</v>
      </c>
    </row>
    <row r="3" spans="1:2" x14ac:dyDescent="0.3">
      <c r="A3" s="7" t="s">
        <v>19</v>
      </c>
      <c r="B3" s="8">
        <v>20</v>
      </c>
    </row>
    <row r="4" spans="1:2" x14ac:dyDescent="0.3">
      <c r="A4" s="7" t="s">
        <v>13</v>
      </c>
      <c r="B4" s="8">
        <v>21</v>
      </c>
    </row>
    <row r="5" spans="1:2" x14ac:dyDescent="0.3">
      <c r="A5" s="7" t="s">
        <v>34</v>
      </c>
      <c r="B5" s="8">
        <v>19</v>
      </c>
    </row>
    <row r="6" spans="1:2" x14ac:dyDescent="0.3">
      <c r="A6" s="7" t="s">
        <v>23</v>
      </c>
      <c r="B6" s="8">
        <v>20</v>
      </c>
    </row>
    <row r="7" spans="1:2" x14ac:dyDescent="0.3">
      <c r="A7" s="7" t="s">
        <v>226</v>
      </c>
      <c r="B7" s="8">
        <v>100</v>
      </c>
    </row>
    <row r="18" spans="1:2" x14ac:dyDescent="0.3">
      <c r="A18" s="6" t="s">
        <v>225</v>
      </c>
      <c r="B18" t="s">
        <v>227</v>
      </c>
    </row>
    <row r="19" spans="1:2" x14ac:dyDescent="0.3">
      <c r="A19" s="7" t="s">
        <v>18</v>
      </c>
      <c r="B19" s="8">
        <v>50</v>
      </c>
    </row>
    <row r="20" spans="1:2" x14ac:dyDescent="0.3">
      <c r="A20" s="7" t="s">
        <v>12</v>
      </c>
      <c r="B20" s="8">
        <v>50</v>
      </c>
    </row>
    <row r="21" spans="1:2" x14ac:dyDescent="0.3">
      <c r="A21" s="7" t="s">
        <v>226</v>
      </c>
      <c r="B21" s="8">
        <v>100</v>
      </c>
    </row>
    <row r="36" spans="1:2" x14ac:dyDescent="0.3">
      <c r="A36" s="6" t="s">
        <v>225</v>
      </c>
      <c r="B36" t="s">
        <v>228</v>
      </c>
    </row>
    <row r="37" spans="1:2" x14ac:dyDescent="0.3">
      <c r="A37" s="7" t="s">
        <v>28</v>
      </c>
      <c r="B37" s="5">
        <v>56150</v>
      </c>
    </row>
    <row r="38" spans="1:2" x14ac:dyDescent="0.3">
      <c r="A38" s="7" t="s">
        <v>13</v>
      </c>
      <c r="B38" s="5">
        <v>47761.904761904763</v>
      </c>
    </row>
    <row r="39" spans="1:2" x14ac:dyDescent="0.3">
      <c r="A39" s="7" t="s">
        <v>34</v>
      </c>
      <c r="B39" s="5">
        <v>47157.894736842107</v>
      </c>
    </row>
    <row r="40" spans="1:2" x14ac:dyDescent="0.3">
      <c r="A40" s="7" t="s">
        <v>19</v>
      </c>
      <c r="B40" s="5">
        <v>45250</v>
      </c>
    </row>
    <row r="41" spans="1:2" x14ac:dyDescent="0.3">
      <c r="A41" s="7" t="s">
        <v>23</v>
      </c>
      <c r="B41" s="5">
        <v>43700</v>
      </c>
    </row>
    <row r="42" spans="1:2" x14ac:dyDescent="0.3">
      <c r="A42" s="7" t="s">
        <v>226</v>
      </c>
      <c r="B42" s="5">
        <v>48010</v>
      </c>
    </row>
    <row r="53" spans="1:2" x14ac:dyDescent="0.3">
      <c r="A53" s="6" t="s">
        <v>225</v>
      </c>
      <c r="B53" t="s">
        <v>229</v>
      </c>
    </row>
    <row r="54" spans="1:2" x14ac:dyDescent="0.3">
      <c r="A54" s="7" t="s">
        <v>28</v>
      </c>
      <c r="B54" s="8">
        <v>4.5999999999999996</v>
      </c>
    </row>
    <row r="55" spans="1:2" x14ac:dyDescent="0.3">
      <c r="A55" s="7" t="s">
        <v>19</v>
      </c>
      <c r="B55" s="8">
        <v>4.2</v>
      </c>
    </row>
    <row r="56" spans="1:2" x14ac:dyDescent="0.3">
      <c r="A56" s="7" t="s">
        <v>13</v>
      </c>
      <c r="B56" s="8">
        <v>4.2380952380952381</v>
      </c>
    </row>
    <row r="57" spans="1:2" x14ac:dyDescent="0.3">
      <c r="A57" s="7" t="s">
        <v>34</v>
      </c>
      <c r="B57" s="8">
        <v>4.1052631578947372</v>
      </c>
    </row>
    <row r="58" spans="1:2" x14ac:dyDescent="0.3">
      <c r="A58" s="7" t="s">
        <v>23</v>
      </c>
      <c r="B58" s="8">
        <v>3.85</v>
      </c>
    </row>
    <row r="59" spans="1:2" x14ac:dyDescent="0.3">
      <c r="A59" s="7" t="s">
        <v>226</v>
      </c>
      <c r="B59" s="8">
        <v>4.2</v>
      </c>
    </row>
    <row r="70" spans="1:2" x14ac:dyDescent="0.3">
      <c r="A70" s="6" t="s">
        <v>8</v>
      </c>
      <c r="B70" t="s">
        <v>24</v>
      </c>
    </row>
    <row r="72" spans="1:2" x14ac:dyDescent="0.3">
      <c r="A72" s="6" t="s">
        <v>225</v>
      </c>
      <c r="B72" t="s">
        <v>230</v>
      </c>
    </row>
    <row r="73" spans="1:2" x14ac:dyDescent="0.3">
      <c r="A73" s="7" t="s">
        <v>28</v>
      </c>
      <c r="B73" s="8">
        <v>4</v>
      </c>
    </row>
    <row r="74" spans="1:2" x14ac:dyDescent="0.3">
      <c r="A74" s="7" t="s">
        <v>19</v>
      </c>
      <c r="B74" s="8">
        <v>4</v>
      </c>
    </row>
    <row r="75" spans="1:2" x14ac:dyDescent="0.3">
      <c r="A75" s="7" t="s">
        <v>13</v>
      </c>
      <c r="B75" s="8">
        <v>5</v>
      </c>
    </row>
    <row r="76" spans="1:2" x14ac:dyDescent="0.3">
      <c r="A76" s="7" t="s">
        <v>34</v>
      </c>
      <c r="B76" s="8">
        <v>6</v>
      </c>
    </row>
    <row r="77" spans="1:2" x14ac:dyDescent="0.3">
      <c r="A77" s="7" t="s">
        <v>23</v>
      </c>
      <c r="B77" s="8">
        <v>6</v>
      </c>
    </row>
    <row r="78" spans="1:2" x14ac:dyDescent="0.3">
      <c r="A78" s="7" t="s">
        <v>226</v>
      </c>
      <c r="B78" s="8">
        <v>25</v>
      </c>
    </row>
  </sheetData>
  <pageMargins left="0.7" right="0.7" top="0.75" bottom="0.75" header="0.3" footer="0.3"/>
  <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81960-4FFA-4343-98E7-E51BBD27E764}">
  <dimension ref="A1:Z92"/>
  <sheetViews>
    <sheetView showGridLines="0" tabSelected="1" zoomScale="37" workbookViewId="0">
      <selection activeCell="A90" sqref="A90:E90"/>
    </sheetView>
  </sheetViews>
  <sheetFormatPr defaultRowHeight="14.4" x14ac:dyDescent="0.3"/>
  <cols>
    <col min="11" max="11" width="20.21875" bestFit="1" customWidth="1"/>
  </cols>
  <sheetData>
    <row r="1" spans="1:26" x14ac:dyDescent="0.3">
      <c r="A1" s="28" t="s">
        <v>231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30"/>
    </row>
    <row r="2" spans="1:26" ht="15" thickBot="1" x14ac:dyDescent="0.35">
      <c r="A2" s="31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3"/>
    </row>
    <row r="3" spans="1:26" ht="15" thickBot="1" x14ac:dyDescent="0.35"/>
    <row r="4" spans="1:26" x14ac:dyDescent="0.3">
      <c r="B4" s="10"/>
      <c r="C4" s="11"/>
      <c r="D4" s="12"/>
      <c r="F4" s="10"/>
      <c r="G4" s="11"/>
      <c r="H4" s="12"/>
      <c r="J4" s="10"/>
      <c r="K4" s="11"/>
      <c r="L4" s="12"/>
      <c r="N4" s="10"/>
      <c r="O4" s="11"/>
      <c r="P4" s="12"/>
      <c r="R4" s="10"/>
      <c r="S4" s="11"/>
      <c r="T4" s="12"/>
      <c r="V4" s="10"/>
      <c r="W4" s="11"/>
      <c r="X4" s="12"/>
    </row>
    <row r="5" spans="1:26" ht="21" x14ac:dyDescent="0.4">
      <c r="B5" s="25" t="s">
        <v>232</v>
      </c>
      <c r="C5" s="26"/>
      <c r="D5" s="27"/>
      <c r="F5" s="25" t="s">
        <v>233</v>
      </c>
      <c r="G5" s="26"/>
      <c r="H5" s="27"/>
      <c r="J5" s="25" t="s">
        <v>234</v>
      </c>
      <c r="K5" s="26"/>
      <c r="L5" s="27"/>
      <c r="N5" s="25" t="s">
        <v>235</v>
      </c>
      <c r="O5" s="26"/>
      <c r="P5" s="27"/>
      <c r="R5" s="25" t="s">
        <v>236</v>
      </c>
      <c r="S5" s="26"/>
      <c r="T5" s="27"/>
      <c r="V5" s="19" t="s">
        <v>237</v>
      </c>
      <c r="W5" s="14"/>
      <c r="X5" s="15"/>
    </row>
    <row r="6" spans="1:26" x14ac:dyDescent="0.3">
      <c r="B6" s="13"/>
      <c r="C6" s="14"/>
      <c r="D6" s="15"/>
      <c r="F6" s="13"/>
      <c r="G6" s="14"/>
      <c r="H6" s="15"/>
      <c r="J6" s="13"/>
      <c r="K6" s="14"/>
      <c r="L6" s="15"/>
      <c r="N6" s="13"/>
      <c r="O6" s="14"/>
      <c r="P6" s="15"/>
      <c r="R6" s="13"/>
      <c r="S6" s="14"/>
      <c r="T6" s="15"/>
      <c r="V6" s="13"/>
      <c r="W6" s="14"/>
      <c r="X6" s="15"/>
    </row>
    <row r="7" spans="1:26" ht="25.8" x14ac:dyDescent="0.5">
      <c r="B7" s="20"/>
      <c r="C7" s="22">
        <v>100</v>
      </c>
      <c r="D7" s="15"/>
      <c r="F7" s="13"/>
      <c r="G7" s="22">
        <v>25</v>
      </c>
      <c r="H7" s="15"/>
      <c r="J7" s="13"/>
      <c r="K7" s="23">
        <v>56150</v>
      </c>
      <c r="L7" s="15"/>
      <c r="N7" s="13"/>
      <c r="O7" s="21">
        <v>29.02</v>
      </c>
      <c r="P7" s="15"/>
      <c r="R7" s="13"/>
      <c r="S7" s="21">
        <v>4.2</v>
      </c>
      <c r="T7" s="15"/>
      <c r="V7" s="13"/>
      <c r="W7" s="24">
        <v>0.25</v>
      </c>
      <c r="X7" s="15"/>
    </row>
    <row r="8" spans="1:26" x14ac:dyDescent="0.3">
      <c r="B8" s="13"/>
      <c r="C8" s="14"/>
      <c r="D8" s="15"/>
      <c r="F8" s="13"/>
      <c r="G8" s="14"/>
      <c r="H8" s="15"/>
      <c r="J8" s="13"/>
      <c r="K8" s="14"/>
      <c r="L8" s="15"/>
      <c r="N8" s="13"/>
      <c r="O8" s="14"/>
      <c r="P8" s="15"/>
      <c r="R8" s="13"/>
      <c r="S8" s="14"/>
      <c r="T8" s="15"/>
      <c r="V8" s="13"/>
      <c r="W8" s="14"/>
      <c r="X8" s="15"/>
    </row>
    <row r="9" spans="1:26" ht="15" thickBot="1" x14ac:dyDescent="0.35">
      <c r="B9" s="16"/>
      <c r="C9" s="17"/>
      <c r="D9" s="18"/>
      <c r="F9" s="16"/>
      <c r="G9" s="17"/>
      <c r="H9" s="18"/>
      <c r="J9" s="16"/>
      <c r="K9" s="17"/>
      <c r="L9" s="18"/>
      <c r="N9" s="16"/>
      <c r="O9" s="17"/>
      <c r="P9" s="18"/>
      <c r="R9" s="16"/>
      <c r="S9" s="17"/>
      <c r="T9" s="18"/>
      <c r="V9" s="16"/>
      <c r="W9" s="17"/>
      <c r="X9" s="18"/>
    </row>
    <row r="71" spans="1:16" ht="15" thickBot="1" x14ac:dyDescent="0.35"/>
    <row r="72" spans="1:16" ht="23.4" x14ac:dyDescent="0.45">
      <c r="A72" s="43" t="s">
        <v>238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5"/>
    </row>
    <row r="73" spans="1:16" ht="18" x14ac:dyDescent="0.35">
      <c r="A73" s="34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6"/>
    </row>
    <row r="74" spans="1:16" ht="18" x14ac:dyDescent="0.35">
      <c r="A74" s="40" t="s">
        <v>239</v>
      </c>
      <c r="B74" s="41"/>
      <c r="C74" s="41"/>
      <c r="D74" s="41"/>
      <c r="E74" s="41"/>
      <c r="F74" s="41"/>
      <c r="G74" s="41"/>
      <c r="H74" s="41"/>
      <c r="I74" s="41"/>
      <c r="J74" s="41"/>
      <c r="K74" s="41"/>
      <c r="L74" s="41"/>
      <c r="M74" s="41"/>
      <c r="N74" s="41"/>
      <c r="O74" s="41"/>
      <c r="P74" s="42"/>
    </row>
    <row r="75" spans="1:16" ht="18" x14ac:dyDescent="0.35">
      <c r="A75" s="34" t="s">
        <v>240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6"/>
    </row>
    <row r="76" spans="1:16" ht="18" x14ac:dyDescent="0.35">
      <c r="A76" s="34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6"/>
    </row>
    <row r="77" spans="1:16" ht="18" x14ac:dyDescent="0.35">
      <c r="A77" s="40" t="s">
        <v>241</v>
      </c>
      <c r="B77" s="46"/>
      <c r="C77" s="46"/>
      <c r="D77" s="46"/>
      <c r="E77" s="46"/>
      <c r="F77" s="46"/>
      <c r="G77" s="46"/>
      <c r="H77" s="46"/>
      <c r="I77" s="35"/>
      <c r="J77" s="35"/>
      <c r="K77" s="35"/>
      <c r="L77" s="35"/>
      <c r="M77" s="35"/>
      <c r="N77" s="35"/>
      <c r="O77" s="35"/>
      <c r="P77" s="36"/>
    </row>
    <row r="78" spans="1:16" ht="18" x14ac:dyDescent="0.35">
      <c r="A78" s="47" t="s">
        <v>28</v>
      </c>
      <c r="B78" s="46"/>
      <c r="C78" s="46"/>
      <c r="D78" s="46"/>
      <c r="E78" s="46"/>
      <c r="F78" s="46"/>
      <c r="G78" s="35"/>
      <c r="H78" s="35"/>
      <c r="I78" s="35"/>
      <c r="J78" s="35"/>
      <c r="K78" s="35"/>
      <c r="L78" s="35"/>
      <c r="M78" s="35"/>
      <c r="N78" s="35"/>
      <c r="O78" s="35"/>
      <c r="P78" s="36"/>
    </row>
    <row r="79" spans="1:16" ht="18" x14ac:dyDescent="0.35">
      <c r="A79" s="9"/>
      <c r="B79" s="9"/>
      <c r="C79" s="9"/>
      <c r="D79" s="9"/>
      <c r="E79" s="9"/>
      <c r="F79" s="9"/>
      <c r="G79" s="9"/>
      <c r="H79" s="35"/>
      <c r="I79" s="35"/>
      <c r="J79" s="35"/>
      <c r="K79" s="35"/>
      <c r="L79" s="35"/>
      <c r="M79" s="35"/>
      <c r="N79" s="35"/>
      <c r="O79" s="35"/>
      <c r="P79" s="36"/>
    </row>
    <row r="80" spans="1:16" ht="18" x14ac:dyDescent="0.35">
      <c r="A80" s="40" t="s">
        <v>242</v>
      </c>
      <c r="B80" s="41"/>
      <c r="C80" s="41"/>
      <c r="D80" s="41"/>
      <c r="E80" s="41"/>
      <c r="F80" s="41"/>
      <c r="G80" s="41"/>
      <c r="H80" s="35"/>
      <c r="I80" s="35"/>
      <c r="J80" s="35"/>
      <c r="K80" s="35"/>
      <c r="L80" s="35"/>
      <c r="M80" s="35"/>
      <c r="N80" s="35"/>
      <c r="O80" s="35"/>
      <c r="P80" s="36"/>
    </row>
    <row r="81" spans="1:16" ht="18" x14ac:dyDescent="0.35">
      <c r="A81" s="47" t="s">
        <v>28</v>
      </c>
      <c r="B81" s="46"/>
      <c r="C81" s="46"/>
      <c r="D81" s="46"/>
      <c r="E81" s="46"/>
      <c r="F81" s="46"/>
      <c r="G81" s="35"/>
      <c r="H81" s="35"/>
      <c r="I81" s="35"/>
      <c r="J81" s="35"/>
      <c r="K81" s="35"/>
      <c r="L81" s="35"/>
      <c r="M81" s="35"/>
      <c r="N81" s="35"/>
      <c r="O81" s="35"/>
      <c r="P81" s="36"/>
    </row>
    <row r="82" spans="1:16" ht="18" x14ac:dyDescent="0.35">
      <c r="A82" s="34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6"/>
    </row>
    <row r="83" spans="1:16" ht="18" x14ac:dyDescent="0.35">
      <c r="A83" s="40" t="s">
        <v>243</v>
      </c>
      <c r="B83" s="46"/>
      <c r="C83" s="46"/>
      <c r="D83" s="46"/>
      <c r="E83" s="46"/>
      <c r="F83" s="46"/>
      <c r="G83" s="46"/>
      <c r="H83" s="46"/>
      <c r="I83" s="35"/>
      <c r="J83" s="35"/>
      <c r="K83" s="35"/>
      <c r="L83" s="35"/>
      <c r="M83" s="35"/>
      <c r="N83" s="35"/>
      <c r="O83" s="35"/>
      <c r="P83" s="36"/>
    </row>
    <row r="84" spans="1:16" ht="18" x14ac:dyDescent="0.35">
      <c r="A84" s="47" t="s">
        <v>15</v>
      </c>
      <c r="B84" s="46"/>
      <c r="C84" s="46"/>
      <c r="D84" s="46"/>
      <c r="E84" s="46"/>
      <c r="F84" s="46"/>
      <c r="G84" s="35"/>
      <c r="H84" s="35"/>
      <c r="I84" s="35"/>
      <c r="J84" s="35"/>
      <c r="K84" s="35"/>
      <c r="L84" s="35"/>
      <c r="M84" s="35"/>
      <c r="N84" s="35"/>
      <c r="O84" s="35"/>
      <c r="P84" s="36"/>
    </row>
    <row r="85" spans="1:16" ht="18" x14ac:dyDescent="0.35">
      <c r="A85" s="34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6"/>
    </row>
    <row r="86" spans="1:16" ht="18" x14ac:dyDescent="0.35">
      <c r="A86" s="40" t="s">
        <v>244</v>
      </c>
      <c r="B86" s="46"/>
      <c r="C86" s="46"/>
      <c r="D86" s="46"/>
      <c r="E86" s="46"/>
      <c r="F86" s="46"/>
      <c r="G86" s="46"/>
      <c r="H86" s="46"/>
      <c r="I86" s="35"/>
      <c r="J86" s="35"/>
      <c r="K86" s="35"/>
      <c r="L86" s="35"/>
      <c r="M86" s="35"/>
      <c r="N86" s="35"/>
      <c r="O86" s="35"/>
      <c r="P86" s="36"/>
    </row>
    <row r="87" spans="1:16" ht="18" x14ac:dyDescent="0.35">
      <c r="A87" s="47">
        <v>0.25</v>
      </c>
      <c r="B87" s="46"/>
      <c r="C87" s="46"/>
      <c r="D87" s="46"/>
      <c r="E87" s="46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6"/>
    </row>
    <row r="88" spans="1:16" ht="18" x14ac:dyDescent="0.35">
      <c r="A88" s="34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6"/>
    </row>
    <row r="89" spans="1:16" ht="18" x14ac:dyDescent="0.35">
      <c r="A89" s="40" t="s">
        <v>245</v>
      </c>
      <c r="B89" s="41"/>
      <c r="C89" s="41"/>
      <c r="D89" s="41"/>
      <c r="E89" s="41"/>
      <c r="F89" s="41"/>
      <c r="G89" s="35"/>
      <c r="H89" s="35"/>
      <c r="I89" s="35"/>
      <c r="J89" s="35"/>
      <c r="K89" s="35"/>
      <c r="L89" s="35"/>
      <c r="M89" s="35"/>
      <c r="N89" s="35"/>
      <c r="O89" s="35"/>
      <c r="P89" s="36"/>
    </row>
    <row r="90" spans="1:16" ht="18" x14ac:dyDescent="0.35">
      <c r="A90" s="47">
        <v>0.42</v>
      </c>
      <c r="B90" s="46"/>
      <c r="C90" s="46"/>
      <c r="D90" s="46"/>
      <c r="E90" s="46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6"/>
    </row>
    <row r="91" spans="1:16" ht="18" x14ac:dyDescent="0.35">
      <c r="A91" s="34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6"/>
    </row>
    <row r="92" spans="1:16" ht="18.600000000000001" thickBot="1" x14ac:dyDescent="0.4">
      <c r="A92" s="37"/>
      <c r="B92" s="38"/>
      <c r="C92" s="38"/>
      <c r="D92" s="38"/>
      <c r="E92" s="38"/>
      <c r="F92" s="38"/>
      <c r="G92" s="38"/>
      <c r="H92" s="38"/>
      <c r="I92" s="38"/>
      <c r="J92" s="38"/>
      <c r="K92" s="38"/>
      <c r="L92" s="38"/>
      <c r="M92" s="38"/>
      <c r="N92" s="38"/>
      <c r="O92" s="38"/>
      <c r="P92" s="39"/>
    </row>
  </sheetData>
  <mergeCells count="18">
    <mergeCell ref="A89:F89"/>
    <mergeCell ref="A78:F78"/>
    <mergeCell ref="A81:F81"/>
    <mergeCell ref="A84:F84"/>
    <mergeCell ref="A87:E87"/>
    <mergeCell ref="A90:E90"/>
    <mergeCell ref="A72:P72"/>
    <mergeCell ref="A74:P74"/>
    <mergeCell ref="A77:H77"/>
    <mergeCell ref="A80:G80"/>
    <mergeCell ref="A83:H83"/>
    <mergeCell ref="A86:H86"/>
    <mergeCell ref="A1:Z2"/>
    <mergeCell ref="N5:P5"/>
    <mergeCell ref="R5:T5"/>
    <mergeCell ref="J5:L5"/>
    <mergeCell ref="F5:H5"/>
    <mergeCell ref="B5:D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HR_data</vt:lpstr>
      <vt:lpstr>pivot tabel&amp;charts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hafsa afzal</dc:creator>
  <cp:lastModifiedBy>hafsa afzal</cp:lastModifiedBy>
  <dcterms:created xsi:type="dcterms:W3CDTF">2026-06-19T15:55:56Z</dcterms:created>
  <dcterms:modified xsi:type="dcterms:W3CDTF">2026-06-19T19:40:18Z</dcterms:modified>
</cp:coreProperties>
</file>